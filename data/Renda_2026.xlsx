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caber\Desktop\App financeiro\"/>
    </mc:Choice>
  </mc:AlternateContent>
  <xr:revisionPtr revIDLastSave="0" documentId="13_ncr:1_{EF822066-4049-4049-96C1-C0CBDF50D842}" xr6:coauthVersionLast="47" xr6:coauthVersionMax="47" xr10:uidLastSave="{00000000-0000-0000-0000-000000000000}"/>
  <bookViews>
    <workbookView xWindow="-110" yWindow="-110" windowWidth="19420" windowHeight="10300" tabRatio="728" firstSheet="1" activeTab="1" xr2:uid="{00FFE451-EA0B-4168-BE27-8DD2A935882C}"/>
  </bookViews>
  <sheets>
    <sheet name="Base" sheetId="43" state="hidden" r:id="rId1"/>
    <sheet name="Planilha apoio" sheetId="2" r:id="rId2"/>
    <sheet name="jan-26" sheetId="52" r:id="rId3"/>
    <sheet name="fev-26" sheetId="51" r:id="rId4"/>
    <sheet name="mar-26" sheetId="53" r:id="rId5"/>
    <sheet name="abr-26" sheetId="54" r:id="rId6"/>
    <sheet name="mai-26" sheetId="55" r:id="rId7"/>
    <sheet name="jun-26" sheetId="56" r:id="rId8"/>
    <sheet name="jul-26" sheetId="62" r:id="rId9"/>
    <sheet name="ago-26" sheetId="61" r:id="rId10"/>
    <sheet name="set-26" sheetId="58" r:id="rId11"/>
    <sheet name="out-26" sheetId="60" r:id="rId12"/>
    <sheet name="nov-26" sheetId="59" r:id="rId13"/>
    <sheet name="dez-26" sheetId="57" r:id="rId14"/>
  </sheets>
  <definedNames>
    <definedName name="_xlnm._FilterDatabase" localSheetId="5" hidden="1">'abr-26'!$H$3:$M$43</definedName>
    <definedName name="_xlnm._FilterDatabase" localSheetId="9" hidden="1">'ago-26'!$H$3:$M$43</definedName>
    <definedName name="_xlnm._FilterDatabase" localSheetId="0" hidden="1">Base!$A$2:$F$64</definedName>
    <definedName name="_xlnm._FilterDatabase" localSheetId="13" hidden="1">'dez-26'!$H$3:$M$43</definedName>
    <definedName name="_xlnm._FilterDatabase" localSheetId="3" hidden="1">'fev-26'!$H$3:$M$43</definedName>
    <definedName name="_xlnm._FilterDatabase" localSheetId="2" hidden="1">'jan-26'!$H$3:$M$43</definedName>
    <definedName name="_xlnm._FilterDatabase" localSheetId="8" hidden="1">'jul-26'!$H$3:$M$43</definedName>
    <definedName name="_xlnm._FilterDatabase" localSheetId="7" hidden="1">'jun-26'!$H$3:$M$43</definedName>
    <definedName name="_xlnm._FilterDatabase" localSheetId="6" hidden="1">'mai-26'!$H$3:$M$43</definedName>
    <definedName name="_xlnm._FilterDatabase" localSheetId="4" hidden="1">'mar-26'!$H$3:$M$43</definedName>
    <definedName name="_xlnm._FilterDatabase" localSheetId="12" hidden="1">'nov-26'!$H$3:$M$43</definedName>
    <definedName name="_xlnm._FilterDatabase" localSheetId="11" hidden="1">'out-26'!$H$3:$M$43</definedName>
    <definedName name="_xlnm._FilterDatabase" localSheetId="1" hidden="1">'Planilha apoio'!$A$1:$B$44</definedName>
    <definedName name="_xlnm._FilterDatabase" localSheetId="10" hidden="1">'set-26'!$H$3:$M$43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5" i="62" l="1"/>
  <c r="P18" i="62"/>
  <c r="O11" i="62" a="1"/>
  <c r="O11" i="62" s="1"/>
  <c r="O10" i="62"/>
  <c r="Q5" i="62"/>
  <c r="Q4" i="62"/>
  <c r="Q6" i="62" s="1"/>
  <c r="Q7" i="62" s="1"/>
  <c r="P35" i="61"/>
  <c r="P18" i="61"/>
  <c r="O11" i="61" a="1"/>
  <c r="O11" i="61" s="1"/>
  <c r="O12" i="61" s="1"/>
  <c r="O10" i="61"/>
  <c r="Q5" i="61"/>
  <c r="Q4" i="61"/>
  <c r="Q6" i="61" s="1"/>
  <c r="Q7" i="61" s="1"/>
  <c r="P35" i="60"/>
  <c r="P18" i="60"/>
  <c r="O10" i="60" s="1"/>
  <c r="O11" i="60" a="1"/>
  <c r="O11" i="60" s="1"/>
  <c r="Q5" i="60"/>
  <c r="Q4" i="60"/>
  <c r="Q6" i="60" s="1"/>
  <c r="Q7" i="60" s="1"/>
  <c r="P35" i="59"/>
  <c r="P18" i="59"/>
  <c r="O11" i="59" a="1"/>
  <c r="O11" i="59" s="1"/>
  <c r="O10" i="59"/>
  <c r="O12" i="59" s="1"/>
  <c r="Q5" i="59"/>
  <c r="Q6" i="59" s="1"/>
  <c r="Q7" i="59" s="1"/>
  <c r="Q4" i="59"/>
  <c r="P35" i="58"/>
  <c r="P18" i="58"/>
  <c r="O10" i="58" s="1"/>
  <c r="O11" i="58" a="1"/>
  <c r="O11" i="58" s="1"/>
  <c r="Q5" i="58"/>
  <c r="Q4" i="58"/>
  <c r="Q6" i="58" s="1"/>
  <c r="Q7" i="58" s="1"/>
  <c r="P35" i="57"/>
  <c r="P18" i="57"/>
  <c r="O10" i="57" s="1"/>
  <c r="O12" i="57" s="1"/>
  <c r="O11" i="57" a="1"/>
  <c r="O11" i="57" s="1"/>
  <c r="Q5" i="57"/>
  <c r="Q4" i="57"/>
  <c r="Q6" i="57" s="1"/>
  <c r="Q7" i="57" s="1"/>
  <c r="P35" i="56"/>
  <c r="P18" i="56"/>
  <c r="O11" i="56" a="1"/>
  <c r="O11" i="56" s="1"/>
  <c r="O10" i="56"/>
  <c r="O12" i="56" s="1"/>
  <c r="Q5" i="56"/>
  <c r="Q6" i="56" s="1"/>
  <c r="Q7" i="56" s="1"/>
  <c r="Q4" i="56"/>
  <c r="P35" i="55"/>
  <c r="P18" i="55"/>
  <c r="O10" i="55" s="1"/>
  <c r="O11" i="55" a="1"/>
  <c r="O11" i="55" s="1"/>
  <c r="Q5" i="55"/>
  <c r="Q4" i="55"/>
  <c r="Q6" i="55" s="1"/>
  <c r="Q7" i="55" s="1"/>
  <c r="P35" i="54"/>
  <c r="P18" i="54"/>
  <c r="O11" i="54" a="1"/>
  <c r="O11" i="54" s="1"/>
  <c r="O10" i="54"/>
  <c r="O12" i="54" s="1"/>
  <c r="Q5" i="54"/>
  <c r="Q4" i="54"/>
  <c r="Q6" i="54" s="1"/>
  <c r="Q7" i="54" s="1"/>
  <c r="P35" i="53"/>
  <c r="P18" i="53"/>
  <c r="O11" i="53" a="1"/>
  <c r="O11" i="53" s="1"/>
  <c r="O10" i="53"/>
  <c r="O12" i="53" s="1"/>
  <c r="Q5" i="53"/>
  <c r="Q4" i="53"/>
  <c r="Q6" i="53" s="1"/>
  <c r="Q7" i="53" s="1"/>
  <c r="P35" i="52"/>
  <c r="P18" i="51" s="1"/>
  <c r="O11" i="52" a="1"/>
  <c r="O11" i="52" s="1"/>
  <c r="O10" i="52"/>
  <c r="O12" i="52" s="1"/>
  <c r="Q5" i="52"/>
  <c r="Q4" i="52"/>
  <c r="Q6" i="52" s="1"/>
  <c r="Q7" i="52" s="1"/>
  <c r="P35" i="51"/>
  <c r="Q5" i="51"/>
  <c r="Q4" i="51"/>
  <c r="O12" i="62" l="1"/>
  <c r="O12" i="60"/>
  <c r="O12" i="58"/>
  <c r="O12" i="55"/>
  <c r="O11" i="51" a="1"/>
  <c r="O11" i="51" s="1"/>
  <c r="Q6" i="51"/>
  <c r="Q7" i="51" s="1"/>
  <c r="J19" i="43"/>
  <c r="I19" i="43"/>
  <c r="K19" i="43"/>
  <c r="I27" i="43"/>
  <c r="I26" i="43"/>
  <c r="I25" i="43"/>
  <c r="I28" i="43"/>
  <c r="J18" i="43"/>
  <c r="J17" i="43"/>
  <c r="J16" i="43"/>
  <c r="J15" i="43"/>
  <c r="J9" i="43"/>
  <c r="J8" i="43"/>
  <c r="K7" i="43"/>
  <c r="J7" i="43"/>
  <c r="I7" i="43"/>
  <c r="I8" i="43"/>
  <c r="K3" i="43"/>
  <c r="J3" i="43"/>
  <c r="K8" i="43"/>
  <c r="K9" i="43"/>
  <c r="I12" i="43"/>
  <c r="I17" i="43"/>
  <c r="K17" i="43"/>
  <c r="I18" i="43"/>
  <c r="K18" i="43"/>
  <c r="I15" i="43"/>
  <c r="K15" i="43"/>
  <c r="I16" i="43"/>
  <c r="K16" i="43"/>
  <c r="O10" i="51" l="1"/>
  <c r="O12" i="5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<sst xmlns="http://schemas.openxmlformats.org/spreadsheetml/2006/main" count="948" uniqueCount="123">
  <si>
    <t>Saldo atual</t>
  </si>
  <si>
    <t>Gasto atual</t>
  </si>
  <si>
    <t>DESPESAS DO MÊS</t>
  </si>
  <si>
    <t>RECEITA</t>
  </si>
  <si>
    <t>DATA</t>
  </si>
  <si>
    <t>DESPESA</t>
  </si>
  <si>
    <t>VALOR</t>
  </si>
  <si>
    <t>CATEGORIA</t>
  </si>
  <si>
    <t>TIPO</t>
  </si>
  <si>
    <t>FIXO</t>
  </si>
  <si>
    <t>Claro</t>
  </si>
  <si>
    <t>Internet</t>
  </si>
  <si>
    <t>Despesa fixa</t>
  </si>
  <si>
    <t>META</t>
  </si>
  <si>
    <t>ATUAL</t>
  </si>
  <si>
    <t>REST/MÊS</t>
  </si>
  <si>
    <t>Investimento</t>
  </si>
  <si>
    <t>-</t>
  </si>
  <si>
    <t>Spotify</t>
  </si>
  <si>
    <t>Streaming</t>
  </si>
  <si>
    <t>Disney Plus</t>
  </si>
  <si>
    <t>Despesa variavel</t>
  </si>
  <si>
    <t>Aluguel</t>
  </si>
  <si>
    <t>Moradia</t>
  </si>
  <si>
    <t>TOTAL</t>
  </si>
  <si>
    <t>Luz</t>
  </si>
  <si>
    <t>Contas</t>
  </si>
  <si>
    <t>Semanas no mês</t>
  </si>
  <si>
    <t>Gasto variavel sem.</t>
  </si>
  <si>
    <t>REST/SEM</t>
  </si>
  <si>
    <t>SEMANA 1</t>
  </si>
  <si>
    <t>SEMANA 1 (01 a 04)</t>
  </si>
  <si>
    <t>SEMANA 2 (05 a 11)</t>
  </si>
  <si>
    <t>SEMANA 3 (12 a 18)</t>
  </si>
  <si>
    <t>SEMANA 4 (19 a 25)</t>
  </si>
  <si>
    <t>SEMANA 5 (26 a 31)</t>
  </si>
  <si>
    <t>Legenda</t>
  </si>
  <si>
    <t>SEMANA 2</t>
  </si>
  <si>
    <t>Transf. p/ Santander</t>
  </si>
  <si>
    <t>Transf. p/ Inter</t>
  </si>
  <si>
    <t>Transf. p/ casa</t>
  </si>
  <si>
    <t>Pago</t>
  </si>
  <si>
    <t>SEMANA 3</t>
  </si>
  <si>
    <t>SEMANA 4</t>
  </si>
  <si>
    <t>SEMANA 5</t>
  </si>
  <si>
    <t>Alimentação</t>
  </si>
  <si>
    <t>Bebidas</t>
  </si>
  <si>
    <t>Estética</t>
  </si>
  <si>
    <t>Cabeleireiro</t>
  </si>
  <si>
    <t>Calçados</t>
  </si>
  <si>
    <t>Combustível</t>
  </si>
  <si>
    <t>Crédito</t>
  </si>
  <si>
    <t>Crédito Ca</t>
  </si>
  <si>
    <t>Delivery</t>
  </si>
  <si>
    <t>Dinheiro</t>
  </si>
  <si>
    <t>Educação</t>
  </si>
  <si>
    <t>Emergenciais</t>
  </si>
  <si>
    <t>Entretenimento</t>
  </si>
  <si>
    <t>Estacionamento</t>
  </si>
  <si>
    <t>Estudos</t>
  </si>
  <si>
    <t>Fatura</t>
  </si>
  <si>
    <t>Gasolina</t>
  </si>
  <si>
    <t>Imprevistos</t>
  </si>
  <si>
    <t>Hobbies</t>
  </si>
  <si>
    <t>Impostos</t>
  </si>
  <si>
    <t>Jogos</t>
  </si>
  <si>
    <t>Lazer</t>
  </si>
  <si>
    <t>Mercado</t>
  </si>
  <si>
    <t>Narguile</t>
  </si>
  <si>
    <t>Outros</t>
  </si>
  <si>
    <t>Pessoal</t>
  </si>
  <si>
    <t>Pet</t>
  </si>
  <si>
    <t>Pix</t>
  </si>
  <si>
    <t>Presentes</t>
  </si>
  <si>
    <t>Roupas</t>
  </si>
  <si>
    <t>Saúde</t>
  </si>
  <si>
    <t>Serviços</t>
  </si>
  <si>
    <t>Supermercado</t>
  </si>
  <si>
    <t>Transporte</t>
  </si>
  <si>
    <t>VA/VR</t>
  </si>
  <si>
    <t>Viagens</t>
  </si>
  <si>
    <t>DESPESAS VARIAVEIS</t>
  </si>
  <si>
    <t>Receitas</t>
  </si>
  <si>
    <t>Salario</t>
  </si>
  <si>
    <t>Extra</t>
  </si>
  <si>
    <t>Total</t>
  </si>
  <si>
    <t>CAMILA</t>
  </si>
  <si>
    <t>LUCAS</t>
  </si>
  <si>
    <t>Lucas</t>
  </si>
  <si>
    <t>Camila</t>
  </si>
  <si>
    <t>Total + VR</t>
  </si>
  <si>
    <t>Invest.</t>
  </si>
  <si>
    <t>Desp. Fixa</t>
  </si>
  <si>
    <t>Desp. Var</t>
  </si>
  <si>
    <t>DESPESAS FIXA</t>
  </si>
  <si>
    <t>Claro Lucas</t>
  </si>
  <si>
    <t>Cartão</t>
  </si>
  <si>
    <t>Disney</t>
  </si>
  <si>
    <t>Fatura prox. Mês</t>
  </si>
  <si>
    <t>Wellhub Lucas</t>
  </si>
  <si>
    <t>Faculdade</t>
  </si>
  <si>
    <t>VR</t>
  </si>
  <si>
    <t>Gamepass</t>
  </si>
  <si>
    <t>Claro Casa</t>
  </si>
  <si>
    <t>Claro Amor</t>
  </si>
  <si>
    <t xml:space="preserve">DESPESAS FIXA CARTÃO </t>
  </si>
  <si>
    <t>FORMA</t>
  </si>
  <si>
    <t>Débito</t>
  </si>
  <si>
    <t>Boleto</t>
  </si>
  <si>
    <t>Semova Amor (2/12)</t>
  </si>
  <si>
    <t>Semova Amor (4/12)</t>
  </si>
  <si>
    <t>Semova Amor (5/12)</t>
  </si>
  <si>
    <t>Semova Amor (6/12)</t>
  </si>
  <si>
    <t>Semova Amor (7/12)</t>
  </si>
  <si>
    <t>Semova Amor (8/12)</t>
  </si>
  <si>
    <t>Semova Amor (9/12)</t>
  </si>
  <si>
    <t>Semova Amor (10/12)</t>
  </si>
  <si>
    <t>Semova Amor (11/12)</t>
  </si>
  <si>
    <t>Semova Amor (12/12)</t>
  </si>
  <si>
    <t>Semova Amor (1/12)</t>
  </si>
  <si>
    <t>Semova Amor (3/12)</t>
  </si>
  <si>
    <t>Conta</t>
  </si>
  <si>
    <t>Rendimentos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</si>
</sst>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00B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</fills>
  <borders count="31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 style="thin">
        <color rgb="FF3F3F3F"/>
      </right>
      <top/>
      <bottom/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/>
      <right style="thin">
        <color rgb="FF3F3F3F"/>
      </right>
      <top/>
      <bottom style="thin">
        <color rgb="FF3F3F3F"/>
      </bottom>
      <diagonal/>
    </border>
    <border>
      <left/>
      <right/>
      <top/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3F3F3F"/>
      </left>
      <right/>
      <top style="thin">
        <color rgb="FF3F3F3F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3F3F3F"/>
      </left>
      <right/>
      <top/>
      <bottom style="thin">
        <color rgb="FF3F3F3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2" borderId="1" applyNumberFormat="0" applyAlignment="0" applyProtection="0"/>
  </cellStyleXfs>
  <cellXfs count="92">
    <xf numFmtId="0" fontId="0" fillId="0" borderId="0" xfId="0"/>
    <xf numFmtId="44" fontId="0" fillId="0" borderId="0" xfId="1" applyFont="1"/>
    <xf numFmtId="0" fontId="0" fillId="0" borderId="0" xfId="0" applyAlignment="1">
      <alignment horizontal="left"/>
    </xf>
    <xf numFmtId="0" fontId="3" fillId="2" borderId="1" xfId="2" applyFont="1"/>
    <xf numFmtId="0" fontId="4" fillId="2" borderId="1" xfId="2" applyFont="1"/>
    <xf numFmtId="44" fontId="4" fillId="2" borderId="1" xfId="2" applyNumberFormat="1" applyFont="1"/>
    <xf numFmtId="44" fontId="4" fillId="2" borderId="1" xfId="1" applyFont="1" applyFill="1" applyBorder="1"/>
    <xf numFmtId="0" fontId="3" fillId="2" borderId="1" xfId="2" applyFont="1" applyAlignment="1">
      <alignment horizontal="center"/>
    </xf>
    <xf numFmtId="44" fontId="3" fillId="2" borderId="1" xfId="1" applyFont="1" applyFill="1" applyBorder="1" applyAlignment="1">
      <alignment horizontal="center"/>
    </xf>
    <xf numFmtId="44" fontId="3" fillId="2" borderId="1" xfId="2" applyNumberFormat="1" applyFont="1" applyAlignment="1">
      <alignment horizontal="center"/>
    </xf>
    <xf numFmtId="44" fontId="3" fillId="2" borderId="1" xfId="1" applyFont="1" applyFill="1" applyBorder="1"/>
    <xf numFmtId="44" fontId="4" fillId="0" borderId="1" xfId="2" applyNumberFormat="1" applyFont="1" applyFill="1"/>
    <xf numFmtId="44" fontId="4" fillId="2" borderId="1" xfId="1" applyFont="1" applyFill="1" applyBorder="1" applyAlignment="1">
      <alignment horizontal="center"/>
    </xf>
    <xf numFmtId="0" fontId="3" fillId="4" borderId="1" xfId="2" applyFont="1" applyFill="1" applyAlignment="1">
      <alignment horizontal="left"/>
    </xf>
    <xf numFmtId="0" fontId="0" fillId="4" borderId="0" xfId="0" applyFill="1"/>
    <xf numFmtId="44" fontId="0" fillId="4" borderId="0" xfId="1" applyFont="1" applyFill="1"/>
    <xf numFmtId="16" fontId="4" fillId="2" borderId="1" xfId="2" applyNumberFormat="1" applyFont="1" applyAlignment="1">
      <alignment horizontal="right"/>
    </xf>
    <xf numFmtId="0" fontId="4" fillId="2" borderId="1" xfId="2" applyFont="1" applyAlignment="1">
      <alignment horizontal="right"/>
    </xf>
    <xf numFmtId="0" fontId="0" fillId="5" borderId="10" xfId="0" applyFill="1" applyBorder="1"/>
    <xf numFmtId="0" fontId="0" fillId="3" borderId="9" xfId="0" applyFill="1" applyBorder="1"/>
    <xf numFmtId="0" fontId="0" fillId="6" borderId="10" xfId="0" applyFill="1" applyBorder="1"/>
    <xf numFmtId="44" fontId="0" fillId="5" borderId="12" xfId="0" applyNumberFormat="1" applyFill="1" applyBorder="1"/>
    <xf numFmtId="44" fontId="0" fillId="6" borderId="12" xfId="0" applyNumberFormat="1" applyFill="1" applyBorder="1"/>
    <xf numFmtId="44" fontId="0" fillId="3" borderId="13" xfId="0" applyNumberFormat="1" applyFill="1" applyBorder="1"/>
    <xf numFmtId="44" fontId="4" fillId="0" borderId="1" xfId="2" applyNumberFormat="1" applyFont="1" applyFill="1" applyAlignment="1">
      <alignment horizontal="center"/>
    </xf>
    <xf numFmtId="0" fontId="0" fillId="7" borderId="10" xfId="0" applyFill="1" applyBorder="1"/>
    <xf numFmtId="44" fontId="0" fillId="7" borderId="13" xfId="0" applyNumberFormat="1" applyFill="1" applyBorder="1"/>
    <xf numFmtId="44" fontId="4" fillId="3" borderId="1" xfId="2" applyNumberFormat="1" applyFont="1" applyFill="1"/>
    <xf numFmtId="0" fontId="4" fillId="7" borderId="1" xfId="2" applyFont="1" applyFill="1"/>
    <xf numFmtId="0" fontId="4" fillId="6" borderId="1" xfId="2" applyFont="1" applyFill="1"/>
    <xf numFmtId="0" fontId="4" fillId="5" borderId="1" xfId="2" applyFont="1" applyFill="1"/>
    <xf numFmtId="0" fontId="6" fillId="0" borderId="1" xfId="2" applyFont="1" applyFill="1"/>
    <xf numFmtId="44" fontId="6" fillId="0" borderId="1" xfId="2" applyNumberFormat="1" applyFont="1" applyFill="1"/>
    <xf numFmtId="0" fontId="4" fillId="0" borderId="1" xfId="2" applyFont="1" applyFill="1"/>
    <xf numFmtId="16" fontId="4" fillId="0" borderId="1" xfId="2" applyNumberFormat="1" applyFont="1" applyFill="1" applyAlignment="1">
      <alignment horizontal="right"/>
    </xf>
    <xf numFmtId="14" fontId="3" fillId="4" borderId="0" xfId="2" applyNumberFormat="1" applyFont="1" applyFill="1" applyBorder="1" applyAlignment="1">
      <alignment horizontal="center"/>
    </xf>
    <xf numFmtId="14" fontId="3" fillId="4" borderId="0" xfId="2" applyNumberFormat="1" applyFont="1" applyFill="1" applyBorder="1" applyAlignment="1"/>
    <xf numFmtId="16" fontId="4" fillId="2" borderId="1" xfId="2" applyNumberFormat="1" applyFont="1" applyAlignment="1">
      <alignment horizontal="left"/>
    </xf>
    <xf numFmtId="44" fontId="4" fillId="0" borderId="14" xfId="2" applyNumberFormat="1" applyFont="1" applyFill="1" applyBorder="1" applyAlignment="1">
      <alignment horizontal="left"/>
    </xf>
    <xf numFmtId="0" fontId="4" fillId="2" borderId="1" xfId="2" applyFont="1" applyAlignment="1">
      <alignment horizontal="left"/>
    </xf>
    <xf numFmtId="44" fontId="4" fillId="2" borderId="1" xfId="1" applyFont="1" applyFill="1" applyBorder="1" applyAlignment="1">
      <alignment horizontal="left"/>
    </xf>
    <xf numFmtId="44" fontId="3" fillId="2" borderId="1" xfId="1" applyFont="1" applyFill="1" applyBorder="1" applyAlignment="1">
      <alignment horizontal="left"/>
    </xf>
    <xf numFmtId="0" fontId="0" fillId="4" borderId="0" xfId="0" applyFill="1" applyAlignment="1">
      <alignment horizontal="left"/>
    </xf>
    <xf numFmtId="0" fontId="3" fillId="2" borderId="1" xfId="2" applyFont="1" applyAlignment="1">
      <alignment horizontal="left"/>
    </xf>
    <xf numFmtId="44" fontId="4" fillId="2" borderId="1" xfId="2" applyNumberFormat="1" applyFont="1" applyAlignment="1">
      <alignment horizontal="left"/>
    </xf>
    <xf numFmtId="0" fontId="4" fillId="0" borderId="1" xfId="2" applyFont="1" applyFill="1" applyAlignment="1">
      <alignment horizontal="left"/>
    </xf>
    <xf numFmtId="0" fontId="4" fillId="0" borderId="1" xfId="0" applyFont="1" applyBorder="1"/>
    <xf numFmtId="44" fontId="4" fillId="0" borderId="8" xfId="2" applyNumberFormat="1" applyFont="1" applyFill="1" applyBorder="1" applyAlignment="1">
      <alignment horizontal="left"/>
    </xf>
    <xf numFmtId="16" fontId="4" fillId="2" borderId="2" xfId="2" applyNumberFormat="1" applyFont="1" applyBorder="1" applyAlignment="1">
      <alignment horizontal="left"/>
    </xf>
    <xf numFmtId="44" fontId="4" fillId="0" borderId="14" xfId="1" applyFont="1" applyFill="1" applyBorder="1" applyAlignment="1">
      <alignment horizontal="left"/>
    </xf>
    <xf numFmtId="44" fontId="4" fillId="0" borderId="14" xfId="1" applyFont="1" applyBorder="1" applyAlignment="1">
      <alignment horizontal="left"/>
    </xf>
    <xf numFmtId="0" fontId="5" fillId="4" borderId="3" xfId="2" applyFont="1" applyFill="1" applyBorder="1" applyAlignment="1">
      <alignment horizontal="center" vertical="center" textRotation="90"/>
    </xf>
    <xf numFmtId="0" fontId="3" fillId="2" borderId="4" xfId="2" applyFont="1" applyBorder="1" applyAlignment="1">
      <alignment horizontal="center"/>
    </xf>
    <xf numFmtId="44" fontId="3" fillId="2" borderId="4" xfId="2" applyNumberFormat="1" applyFont="1" applyBorder="1" applyAlignment="1">
      <alignment horizontal="center"/>
    </xf>
    <xf numFmtId="0" fontId="4" fillId="2" borderId="14" xfId="2" applyFont="1" applyBorder="1" applyAlignment="1">
      <alignment horizontal="left"/>
    </xf>
    <xf numFmtId="44" fontId="4" fillId="2" borderId="15" xfId="2" applyNumberFormat="1" applyFont="1" applyBorder="1" applyAlignment="1">
      <alignment horizontal="left"/>
    </xf>
    <xf numFmtId="0" fontId="4" fillId="2" borderId="2" xfId="2" applyFont="1" applyBorder="1" applyAlignment="1">
      <alignment horizontal="left"/>
    </xf>
    <xf numFmtId="0" fontId="4" fillId="2" borderId="4" xfId="2" applyFont="1" applyBorder="1" applyAlignment="1">
      <alignment horizontal="left"/>
    </xf>
    <xf numFmtId="0" fontId="4" fillId="2" borderId="16" xfId="2" applyFont="1" applyBorder="1" applyAlignment="1">
      <alignment horizontal="left"/>
    </xf>
    <xf numFmtId="0" fontId="3" fillId="2" borderId="26" xfId="2" applyFont="1" applyBorder="1" applyAlignment="1">
      <alignment horizontal="center"/>
    </xf>
    <xf numFmtId="0" fontId="3" fillId="2" borderId="5" xfId="2" applyFont="1" applyBorder="1" applyAlignment="1">
      <alignment horizontal="center"/>
    </xf>
    <xf numFmtId="44" fontId="3" fillId="2" borderId="27" xfId="2" applyNumberFormat="1" applyFont="1" applyBorder="1" applyAlignment="1">
      <alignment horizontal="center"/>
    </xf>
    <xf numFmtId="0" fontId="4" fillId="0" borderId="2" xfId="0" applyFont="1" applyBorder="1"/>
    <xf numFmtId="44" fontId="4" fillId="0" borderId="11" xfId="1" applyFont="1" applyFill="1" applyBorder="1" applyAlignment="1">
      <alignment horizontal="left"/>
    </xf>
    <xf numFmtId="16" fontId="4" fillId="2" borderId="10" xfId="2" applyNumberFormat="1" applyFont="1" applyBorder="1" applyAlignment="1">
      <alignment horizontal="left"/>
    </xf>
    <xf numFmtId="16" fontId="4" fillId="2" borderId="4" xfId="2" applyNumberFormat="1" applyFont="1" applyBorder="1" applyAlignment="1">
      <alignment horizontal="left"/>
    </xf>
    <xf numFmtId="0" fontId="4" fillId="0" borderId="4" xfId="0" applyFont="1" applyBorder="1"/>
    <xf numFmtId="44" fontId="4" fillId="0" borderId="27" xfId="1" applyFont="1" applyFill="1" applyBorder="1" applyAlignment="1">
      <alignment horizontal="left"/>
    </xf>
    <xf numFmtId="0" fontId="3" fillId="2" borderId="11" xfId="2" applyFont="1" applyBorder="1" applyAlignment="1">
      <alignment horizontal="center"/>
    </xf>
    <xf numFmtId="0" fontId="3" fillId="2" borderId="7" xfId="2" applyFont="1" applyBorder="1" applyAlignment="1">
      <alignment horizontal="center"/>
    </xf>
    <xf numFmtId="0" fontId="5" fillId="4" borderId="2" xfId="2" applyFont="1" applyFill="1" applyBorder="1" applyAlignment="1">
      <alignment horizontal="center" vertical="center" textRotation="90"/>
    </xf>
    <xf numFmtId="0" fontId="5" fillId="4" borderId="3" xfId="2" applyFont="1" applyFill="1" applyBorder="1" applyAlignment="1">
      <alignment horizontal="center" vertical="center" textRotation="90"/>
    </xf>
    <xf numFmtId="0" fontId="5" fillId="4" borderId="4" xfId="2" applyFont="1" applyFill="1" applyBorder="1" applyAlignment="1">
      <alignment horizontal="center" vertical="center" textRotation="90"/>
    </xf>
    <xf numFmtId="17" fontId="3" fillId="4" borderId="8" xfId="2" applyNumberFormat="1" applyFont="1" applyFill="1" applyBorder="1" applyAlignment="1">
      <alignment horizontal="center"/>
    </xf>
    <xf numFmtId="14" fontId="3" fillId="4" borderId="6" xfId="2" applyNumberFormat="1" applyFont="1" applyFill="1" applyBorder="1" applyAlignment="1">
      <alignment horizontal="center"/>
    </xf>
    <xf numFmtId="14" fontId="3" fillId="4" borderId="5" xfId="2" applyNumberFormat="1" applyFont="1" applyFill="1" applyBorder="1" applyAlignment="1">
      <alignment horizontal="center"/>
    </xf>
    <xf numFmtId="17" fontId="3" fillId="4" borderId="28" xfId="2" applyNumberFormat="1" applyFont="1" applyFill="1" applyBorder="1" applyAlignment="1">
      <alignment horizontal="center"/>
    </xf>
    <xf numFmtId="17" fontId="3" fillId="4" borderId="29" xfId="2" applyNumberFormat="1" applyFont="1" applyFill="1" applyBorder="1" applyAlignment="1">
      <alignment horizontal="center"/>
    </xf>
    <xf numFmtId="17" fontId="3" fillId="4" borderId="30" xfId="2" applyNumberFormat="1" applyFont="1" applyFill="1" applyBorder="1" applyAlignment="1">
      <alignment horizontal="center"/>
    </xf>
    <xf numFmtId="17" fontId="3" fillId="4" borderId="17" xfId="2" applyNumberFormat="1" applyFont="1" applyFill="1" applyBorder="1" applyAlignment="1">
      <alignment horizontal="center"/>
    </xf>
    <xf numFmtId="17" fontId="3" fillId="4" borderId="18" xfId="2" applyNumberFormat="1" applyFont="1" applyFill="1" applyBorder="1" applyAlignment="1">
      <alignment horizontal="center"/>
    </xf>
    <xf numFmtId="17" fontId="3" fillId="4" borderId="19" xfId="2" applyNumberFormat="1" applyFont="1" applyFill="1" applyBorder="1" applyAlignment="1">
      <alignment horizontal="center"/>
    </xf>
    <xf numFmtId="17" fontId="3" fillId="4" borderId="21" xfId="2" applyNumberFormat="1" applyFont="1" applyFill="1" applyBorder="1" applyAlignment="1">
      <alignment horizontal="center"/>
    </xf>
    <xf numFmtId="17" fontId="3" fillId="4" borderId="0" xfId="2" applyNumberFormat="1" applyFont="1" applyFill="1" applyBorder="1" applyAlignment="1">
      <alignment horizontal="center"/>
    </xf>
    <xf numFmtId="17" fontId="3" fillId="4" borderId="20" xfId="2" applyNumberFormat="1" applyFont="1" applyFill="1" applyBorder="1" applyAlignment="1">
      <alignment horizontal="center"/>
    </xf>
    <xf numFmtId="17" fontId="3" fillId="4" borderId="22" xfId="2" applyNumberFormat="1" applyFont="1" applyFill="1" applyBorder="1" applyAlignment="1">
      <alignment horizontal="center"/>
    </xf>
    <xf numFmtId="17" fontId="3" fillId="7" borderId="23" xfId="2" applyNumberFormat="1" applyFont="1" applyFill="1" applyBorder="1" applyAlignment="1">
      <alignment horizontal="center"/>
    </xf>
    <xf numFmtId="17" fontId="3" fillId="7" borderId="24" xfId="2" applyNumberFormat="1" applyFont="1" applyFill="1" applyBorder="1" applyAlignment="1">
      <alignment horizontal="center"/>
    </xf>
    <xf numFmtId="17" fontId="3" fillId="7" borderId="25" xfId="2" applyNumberFormat="1" applyFont="1" applyFill="1" applyBorder="1" applyAlignment="1">
      <alignment horizontal="center"/>
    </xf>
    <xf numFmtId="17" fontId="3" fillId="3" borderId="23" xfId="2" applyNumberFormat="1" applyFont="1" applyFill="1" applyBorder="1" applyAlignment="1">
      <alignment horizontal="center"/>
    </xf>
    <xf numFmtId="17" fontId="3" fillId="3" borderId="24" xfId="2" applyNumberFormat="1" applyFont="1" applyFill="1" applyBorder="1" applyAlignment="1">
      <alignment horizontal="center"/>
    </xf>
    <xf numFmtId="17" fontId="3" fillId="3" borderId="25" xfId="2" applyNumberFormat="1" applyFont="1" applyFill="1" applyBorder="1" applyAlignment="1">
      <alignment horizontal="center"/>
    </xf>
  </cellXfs>
  <cellStyles count="3">
    <cellStyle name="Moeda" xfId="1" builtinId="4"/>
    <cellStyle name="Normal" xfId="0" builtinId="0"/>
    <cellStyle name="Saída" xfId="2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Meta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DB1-4F56-A781-0342AB70CF06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DB1-4F56-A781-0342AB70CF06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DB1-4F56-A781-0342AB70CF06}"/>
              </c:ext>
            </c:extLst>
          </c:dPt>
          <c:dLbls>
            <c:dLbl>
              <c:idx val="0"/>
              <c:layout>
                <c:manualLayout>
                  <c:x val="-0.25006445882123474"/>
                  <c:y val="-4.8611684609604133E-2"/>
                </c:manualLayout>
              </c:layout>
              <c:tx>
                <c:rich>
                  <a:bodyPr/>
                  <a:lstStyle/>
                  <a:p>
                    <a:fld id="{7184B38B-15B8-4479-B9C7-D3E223542F37}" type="VALUE">
                      <a:rPr lang="en-US"/>
                      <a:pPr/>
                      <a:t>[VALOR]</a:t>
                    </a:fld>
                    <a:endParaRPr lang="pt-BR"/>
                  </a:p>
                </c:rich>
              </c:tx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CDB1-4F56-A781-0342AB70CF06}"/>
                </c:ext>
              </c:extLst>
            </c:dLbl>
            <c:dLbl>
              <c:idx val="1"/>
              <c:layout>
                <c:manualLayout>
                  <c:x val="0.1907147038100635"/>
                  <c:y val="2.1979000291093193E-2"/>
                </c:manualLayout>
              </c:layout>
              <c:tx>
                <c:rich>
                  <a:bodyPr/>
                  <a:lstStyle/>
                  <a:p>
                    <a:fld id="{F94379CB-C518-47B0-A30B-C19FA7C6FE68}" type="VALUE">
                      <a:rPr lang="en-US"/>
                      <a:pPr/>
                      <a:t>[VALOR]</a:t>
                    </a:fld>
                    <a:endParaRPr lang="pt-BR"/>
                  </a:p>
                </c:rich>
              </c:tx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CDB1-4F56-A781-0342AB70CF06}"/>
                </c:ext>
              </c:extLst>
            </c:dLbl>
            <c:dLbl>
              <c:idx val="2"/>
              <c:layout>
                <c:manualLayout>
                  <c:x val="0.10925994381000129"/>
                  <c:y val="0.13227262761106151"/>
                </c:manualLayout>
              </c:layout>
              <c:tx>
                <c:rich>
                  <a:bodyPr/>
                  <a:lstStyle/>
                  <a:p>
                    <a:fld id="{FECEE832-9849-4C0C-BCCE-85C9E3869553}" type="VALUE">
                      <a:rPr lang="en-US"/>
                      <a:pPr/>
                      <a:t>[VALOR]</a:t>
                    </a:fld>
                    <a:endParaRPr lang="pt-BR"/>
                  </a:p>
                </c:rich>
              </c:tx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CDB1-4F56-A781-0342AB70CF0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Base!$H$6:$H$8</c:f>
              <c:strCache>
                <c:ptCount val="3"/>
                <c:pt idx="0">
                  <c:v>Investimento</c:v>
                </c:pt>
                <c:pt idx="1">
                  <c:v>Despesa fixa</c:v>
                </c:pt>
                <c:pt idx="2">
                  <c:v>Despesa variavel</c:v>
                </c:pt>
              </c:strCache>
            </c:strRef>
          </c:cat>
          <c:val>
            <c:numRef>
              <c:f>Base!$I$6:$I$8</c:f>
              <c:numCache>
                <c:formatCode>_("R$"* #,##0.00_);_("R$"* \(#,##0.00\);_("R$"* "-"??_);_(@_)</c:formatCode>
                <c:ptCount val="3"/>
                <c:pt idx="0">
                  <c:v>0</c:v>
                </c:pt>
                <c:pt idx="1">
                  <c:v>1326.2</c:v>
                </c:pt>
                <c:pt idx="2">
                  <c:v>708.08999999999992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DB1-4F56-A781-0342AB70CF06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Mês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Base!$H$6:$H$8</c:f>
              <c:strCache>
                <c:ptCount val="3"/>
                <c:pt idx="0">
                  <c:v>Investimento</c:v>
                </c:pt>
                <c:pt idx="1">
                  <c:v>Despesa fixa</c:v>
                </c:pt>
                <c:pt idx="2">
                  <c:v>Despesa variavel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914-4B22-BA86-E4B62F3CE465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914-4B22-BA86-E4B62F3CE465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914-4B22-BA86-E4B62F3CE465}"/>
              </c:ext>
            </c:extLst>
          </c:dPt>
          <c:dLbls>
            <c:dLbl>
              <c:idx val="0"/>
              <c:layout>
                <c:manualLayout>
                  <c:x val="-0.16731395107794361"/>
                  <c:y val="-0.18151680131132186"/>
                </c:manualLayout>
              </c:layout>
              <c:tx>
                <c:rich>
                  <a:bodyPr/>
                  <a:lstStyle/>
                  <a:p>
                    <a:fld id="{A8A854BB-3EF0-4EF9-ABA1-A8EFC9C814C8}" type="VALUE">
                      <a:rPr lang="en-US"/>
                      <a:pPr/>
                      <a:t>[VALOR]</a:t>
                    </a:fld>
                    <a:endParaRPr lang="pt-BR"/>
                  </a:p>
                </c:rich>
              </c:tx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F914-4B22-BA86-E4B62F3CE465}"/>
                </c:ext>
              </c:extLst>
            </c:dLbl>
            <c:dLbl>
              <c:idx val="1"/>
              <c:layout>
                <c:manualLayout>
                  <c:x val="0.10955249792703151"/>
                  <c:y val="0.12575635171525579"/>
                </c:manualLayout>
              </c:layout>
              <c:tx>
                <c:rich>
                  <a:bodyPr/>
                  <a:lstStyle/>
                  <a:p>
                    <a:fld id="{0CFB7E96-DA49-4BA3-B915-0185F258A6B1}" type="VALUE">
                      <a:rPr lang="en-US"/>
                      <a:pPr/>
                      <a:t>[VALOR]</a:t>
                    </a:fld>
                    <a:endParaRPr lang="pt-BR"/>
                  </a:p>
                </c:rich>
              </c:tx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F914-4B22-BA86-E4B62F3CE465}"/>
                </c:ext>
              </c:extLst>
            </c:dLbl>
            <c:dLbl>
              <c:idx val="2"/>
              <c:layout>
                <c:manualLayout>
                  <c:x val="-0.1255775808457712"/>
                  <c:y val="0.12542817021490008"/>
                </c:manualLayout>
              </c:layout>
              <c:tx>
                <c:rich>
                  <a:bodyPr/>
                  <a:lstStyle/>
                  <a:p>
                    <a:fld id="{471527DA-FC24-4A2F-AC80-F48ED9AA6E7A}" type="VALUE">
                      <a:rPr lang="en-US"/>
                      <a:pPr/>
                      <a:t>[VALOR]</a:t>
                    </a:fld>
                    <a:endParaRPr lang="pt-BR"/>
                  </a:p>
                </c:rich>
              </c:tx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F914-4B22-BA86-E4B62F3CE46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Base!$H$6:$H$8</c:f>
              <c:strCache>
                <c:ptCount val="3"/>
                <c:pt idx="0">
                  <c:v>Investimento</c:v>
                </c:pt>
                <c:pt idx="1">
                  <c:v>Despesa fixa</c:v>
                </c:pt>
                <c:pt idx="2">
                  <c:v>Despesa variavel</c:v>
                </c:pt>
              </c:strCache>
            </c:strRef>
          </c:cat>
          <c:val>
            <c:numRef>
              <c:f>Base!$J$6:$J$8</c:f>
              <c:numCache>
                <c:formatCode>_("R$"* #,##0.00_);_("R$"* \(#,##0.00\);_("R$"* "-"??_);_(@_)</c:formatCode>
                <c:ptCount val="3"/>
                <c:pt idx="0">
                  <c:v>0</c:v>
                </c:pt>
                <c:pt idx="1">
                  <c:v>1326.2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914-4B22-BA86-E4B62F3CE465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DESPESAS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'jan-26'!$B$3:$K$3</c:f>
              <c:strCache>
                <c:ptCount val="1"/>
                <c:pt idx="0">
                  <c:v>DESPESAS VARIAVEIS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24C-4AA0-805F-811A00F90ABC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24C-4AA0-805F-811A00F90ABC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24C-4AA0-805F-811A00F90ABC}"/>
              </c:ext>
            </c:extLst>
          </c:dPt>
          <c:dLbls>
            <c:dLbl>
              <c:idx val="0"/>
              <c:layout>
                <c:manualLayout>
                  <c:x val="-0.175545290659127"/>
                  <c:y val="0.12079541992077875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24C-4AA0-805F-811A00F90ABC}"/>
                </c:ext>
              </c:extLst>
            </c:dLbl>
            <c:dLbl>
              <c:idx val="1"/>
              <c:layout>
                <c:manualLayout>
                  <c:x val="0.11353180017424754"/>
                  <c:y val="-0.2144946036531585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24C-4AA0-805F-811A00F90ABC}"/>
                </c:ext>
              </c:extLst>
            </c:dLbl>
            <c:dLbl>
              <c:idx val="2"/>
              <c:layout>
                <c:manualLayout>
                  <c:x val="2.9999068488046508E-3"/>
                  <c:y val="0.1520413105184662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24C-4AA0-805F-811A00F90AB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'jan-26'!$N$9:$N$11</c:f>
              <c:strCache>
                <c:ptCount val="3"/>
                <c:pt idx="0">
                  <c:v>Invest.</c:v>
                </c:pt>
                <c:pt idx="1">
                  <c:v>Desp. Fixa</c:v>
                </c:pt>
                <c:pt idx="2">
                  <c:v>Desp. Var</c:v>
                </c:pt>
              </c:strCache>
            </c:strRef>
          </c:cat>
          <c:val>
            <c:numRef>
              <c:f>'jan-26'!$O$9:$O$11</c:f>
              <c:numCache>
                <c:formatCode>_("R$"* #,##0.00_);_("R$"* \(#,##0.00\);_("R$"* "-"??_);_(@_)</c:formatCode>
                <c:ptCount val="3"/>
                <c:pt idx="0">
                  <c:v>1000</c:v>
                </c:pt>
                <c:pt idx="1">
                  <c:v>3669.08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24C-4AA0-805F-811A00F90ABC}"/>
            </c:ext>
          </c:extLst>
        </c:ser>
        <c:dLbls>
          <c:dLblPos val="ctr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DESPESAS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'fev-26'!$B$3:$K$3</c:f>
              <c:strCache>
                <c:ptCount val="1"/>
                <c:pt idx="0">
                  <c:v>DESPESAS VARIAVEIS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D09-4F90-97EE-BD0B9D87A12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D09-4F90-97EE-BD0B9D87A129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D09-4F90-97EE-BD0B9D87A129}"/>
              </c:ext>
            </c:extLst>
          </c:dPt>
          <c:dLbls>
            <c:dLbl>
              <c:idx val="0"/>
              <c:layout>
                <c:manualLayout>
                  <c:x val="-0.175545290659127"/>
                  <c:y val="0.12079541992077875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D09-4F90-97EE-BD0B9D87A129}"/>
                </c:ext>
              </c:extLst>
            </c:dLbl>
            <c:dLbl>
              <c:idx val="1"/>
              <c:layout>
                <c:manualLayout>
                  <c:x val="0.11353180017424754"/>
                  <c:y val="-0.2144946036531585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D09-4F90-97EE-BD0B9D87A129}"/>
                </c:ext>
              </c:extLst>
            </c:dLbl>
            <c:dLbl>
              <c:idx val="2"/>
              <c:layout>
                <c:manualLayout>
                  <c:x val="2.9999068488046508E-3"/>
                  <c:y val="0.1520413105184662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D09-4F90-97EE-BD0B9D87A12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'fev-26'!$N$9:$N$11</c:f>
              <c:strCache>
                <c:ptCount val="3"/>
                <c:pt idx="0">
                  <c:v>Invest.</c:v>
                </c:pt>
                <c:pt idx="1">
                  <c:v>Desp. Fixa</c:v>
                </c:pt>
                <c:pt idx="2">
                  <c:v>Desp. Var</c:v>
                </c:pt>
              </c:strCache>
            </c:strRef>
          </c:cat>
          <c:val>
            <c:numRef>
              <c:f>'fev-26'!$O$9:$O$11</c:f>
              <c:numCache>
                <c:formatCode>_("R$"* #,##0.00_);_("R$"* \(#,##0.00\);_("R$"* "-"??_);_(@_)</c:formatCode>
                <c:ptCount val="3"/>
                <c:pt idx="0">
                  <c:v>1000</c:v>
                </c:pt>
                <c:pt idx="1">
                  <c:v>2325.0100000000002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D09-4F90-97EE-BD0B9D87A129}"/>
            </c:ext>
          </c:extLst>
        </c:ser>
        <c:dLbls>
          <c:dLblPos val="ctr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DESPESAS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'mar-26'!$B$3:$K$3</c:f>
              <c:strCache>
                <c:ptCount val="1"/>
                <c:pt idx="0">
                  <c:v>DESPESAS VARIAVEIS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4ED-41AB-819A-3FF0717FB43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4ED-41AB-819A-3FF0717FB43E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4ED-41AB-819A-3FF0717FB43E}"/>
              </c:ext>
            </c:extLst>
          </c:dPt>
          <c:dLbls>
            <c:dLbl>
              <c:idx val="0"/>
              <c:layout>
                <c:manualLayout>
                  <c:x val="-0.175545290659127"/>
                  <c:y val="0.12079541992077875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4ED-41AB-819A-3FF0717FB43E}"/>
                </c:ext>
              </c:extLst>
            </c:dLbl>
            <c:dLbl>
              <c:idx val="1"/>
              <c:layout>
                <c:manualLayout>
                  <c:x val="0.11353180017424754"/>
                  <c:y val="-0.2144946036531585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4ED-41AB-819A-3FF0717FB43E}"/>
                </c:ext>
              </c:extLst>
            </c:dLbl>
            <c:dLbl>
              <c:idx val="2"/>
              <c:layout>
                <c:manualLayout>
                  <c:x val="2.9999068488046508E-3"/>
                  <c:y val="0.1520413105184662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4ED-41AB-819A-3FF0717FB4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'mar-26'!$N$9:$N$11</c:f>
              <c:strCache>
                <c:ptCount val="3"/>
                <c:pt idx="0">
                  <c:v>Invest.</c:v>
                </c:pt>
                <c:pt idx="1">
                  <c:v>Desp. Fixa</c:v>
                </c:pt>
                <c:pt idx="2">
                  <c:v>Desp. Var</c:v>
                </c:pt>
              </c:strCache>
            </c:strRef>
          </c:cat>
          <c:val>
            <c:numRef>
              <c:f>'mar-26'!$O$9:$O$11</c:f>
              <c:numCache>
                <c:formatCode>_("R$"* #,##0.00_);_("R$"* \(#,##0.00\);_("R$"* "-"??_);_(@_)</c:formatCode>
                <c:ptCount val="3"/>
                <c:pt idx="0">
                  <c:v>1000</c:v>
                </c:pt>
                <c:pt idx="1">
                  <c:v>2325.0100000000002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4ED-41AB-819A-3FF0717FB43E}"/>
            </c:ext>
          </c:extLst>
        </c:ser>
        <c:dLbls>
          <c:dLblPos val="ctr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DESPESAS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'abr-26'!$B$3:$K$3</c:f>
              <c:strCache>
                <c:ptCount val="1"/>
                <c:pt idx="0">
                  <c:v>DESPESAS VARIAVEIS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CFE-4FD1-8D7D-E47B3CCB54D6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CFE-4FD1-8D7D-E47B3CCB54D6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CFE-4FD1-8D7D-E47B3CCB54D6}"/>
              </c:ext>
            </c:extLst>
          </c:dPt>
          <c:dLbls>
            <c:dLbl>
              <c:idx val="0"/>
              <c:layout>
                <c:manualLayout>
                  <c:x val="-0.175545290659127"/>
                  <c:y val="0.12079541992077875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CFE-4FD1-8D7D-E47B3CCB54D6}"/>
                </c:ext>
              </c:extLst>
            </c:dLbl>
            <c:dLbl>
              <c:idx val="1"/>
              <c:layout>
                <c:manualLayout>
                  <c:x val="0.11353180017424754"/>
                  <c:y val="-0.2144946036531585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CFE-4FD1-8D7D-E47B3CCB54D6}"/>
                </c:ext>
              </c:extLst>
            </c:dLbl>
            <c:dLbl>
              <c:idx val="2"/>
              <c:layout>
                <c:manualLayout>
                  <c:x val="2.9999068488046508E-3"/>
                  <c:y val="0.1520413105184662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CFE-4FD1-8D7D-E47B3CCB54D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'abr-26'!$N$9:$N$11</c:f>
              <c:strCache>
                <c:ptCount val="3"/>
                <c:pt idx="0">
                  <c:v>Invest.</c:v>
                </c:pt>
                <c:pt idx="1">
                  <c:v>Desp. Fixa</c:v>
                </c:pt>
                <c:pt idx="2">
                  <c:v>Desp. Var</c:v>
                </c:pt>
              </c:strCache>
            </c:strRef>
          </c:cat>
          <c:val>
            <c:numRef>
              <c:f>'abr-26'!$O$9:$O$11</c:f>
              <c:numCache>
                <c:formatCode>_("R$"* #,##0.00_);_("R$"* \(#,##0.00\);_("R$"* "-"??_);_(@_)</c:formatCode>
                <c:ptCount val="3"/>
                <c:pt idx="0">
                  <c:v>1000</c:v>
                </c:pt>
                <c:pt idx="1">
                  <c:v>2325.0100000000002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CFE-4FD1-8D7D-E47B3CCB54D6}"/>
            </c:ext>
          </c:extLst>
        </c:ser>
        <c:dLbls>
          <c:dLblPos val="ctr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DESPESAS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'mai-26'!$B$3:$K$3</c:f>
              <c:strCache>
                <c:ptCount val="1"/>
                <c:pt idx="0">
                  <c:v>DESPESAS VARIAVEIS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076-4FBD-A9C8-132EA4AFE061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076-4FBD-A9C8-132EA4AFE061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076-4FBD-A9C8-132EA4AFE061}"/>
              </c:ext>
            </c:extLst>
          </c:dPt>
          <c:dLbls>
            <c:dLbl>
              <c:idx val="0"/>
              <c:layout>
                <c:manualLayout>
                  <c:x val="-0.175545290659127"/>
                  <c:y val="0.12079541992077875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076-4FBD-A9C8-132EA4AFE061}"/>
                </c:ext>
              </c:extLst>
            </c:dLbl>
            <c:dLbl>
              <c:idx val="1"/>
              <c:layout>
                <c:manualLayout>
                  <c:x val="0.11353180017424754"/>
                  <c:y val="-0.2144946036531585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076-4FBD-A9C8-132EA4AFE061}"/>
                </c:ext>
              </c:extLst>
            </c:dLbl>
            <c:dLbl>
              <c:idx val="2"/>
              <c:layout>
                <c:manualLayout>
                  <c:x val="2.9999068488046508E-3"/>
                  <c:y val="0.1520413105184662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076-4FBD-A9C8-132EA4AFE06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'mai-26'!$N$9:$N$11</c:f>
              <c:strCache>
                <c:ptCount val="3"/>
                <c:pt idx="0">
                  <c:v>Invest.</c:v>
                </c:pt>
                <c:pt idx="1">
                  <c:v>Desp. Fixa</c:v>
                </c:pt>
                <c:pt idx="2">
                  <c:v>Desp. Var</c:v>
                </c:pt>
              </c:strCache>
            </c:strRef>
          </c:cat>
          <c:val>
            <c:numRef>
              <c:f>'mai-26'!$O$9:$O$11</c:f>
              <c:numCache>
                <c:formatCode>_("R$"* #,##0.00_);_("R$"* \(#,##0.00\);_("R$"* "-"??_);_(@_)</c:formatCode>
                <c:ptCount val="3"/>
                <c:pt idx="0">
                  <c:v>1000</c:v>
                </c:pt>
                <c:pt idx="1">
                  <c:v>2325.0100000000002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076-4FBD-A9C8-132EA4AFE061}"/>
            </c:ext>
          </c:extLst>
        </c:ser>
        <c:dLbls>
          <c:dLblPos val="ctr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DESPESAS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'jun-26'!$B$3:$K$3</c:f>
              <c:strCache>
                <c:ptCount val="1"/>
                <c:pt idx="0">
                  <c:v>DESPESAS VARIAVEIS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6B6-41FA-80F6-F714D19CD18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6B6-41FA-80F6-F714D19CD180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6B6-41FA-80F6-F714D19CD180}"/>
              </c:ext>
            </c:extLst>
          </c:dPt>
          <c:dLbls>
            <c:dLbl>
              <c:idx val="0"/>
              <c:layout>
                <c:manualLayout>
                  <c:x val="-0.175545290659127"/>
                  <c:y val="0.12079541992077875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6B6-41FA-80F6-F714D19CD180}"/>
                </c:ext>
              </c:extLst>
            </c:dLbl>
            <c:dLbl>
              <c:idx val="1"/>
              <c:layout>
                <c:manualLayout>
                  <c:x val="0.11353180017424754"/>
                  <c:y val="-0.2144946036531585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6B6-41FA-80F6-F714D19CD180}"/>
                </c:ext>
              </c:extLst>
            </c:dLbl>
            <c:dLbl>
              <c:idx val="2"/>
              <c:layout>
                <c:manualLayout>
                  <c:x val="2.9999068488046508E-3"/>
                  <c:y val="0.1520413105184662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6B6-41FA-80F6-F714D19CD18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'jun-26'!$N$9:$N$11</c:f>
              <c:strCache>
                <c:ptCount val="3"/>
                <c:pt idx="0">
                  <c:v>Invest.</c:v>
                </c:pt>
                <c:pt idx="1">
                  <c:v>Desp. Fixa</c:v>
                </c:pt>
                <c:pt idx="2">
                  <c:v>Desp. Var</c:v>
                </c:pt>
              </c:strCache>
            </c:strRef>
          </c:cat>
          <c:val>
            <c:numRef>
              <c:f>'jun-26'!$O$9:$O$11</c:f>
              <c:numCache>
                <c:formatCode>_("R$"* #,##0.00_);_("R$"* \(#,##0.00\);_("R$"* "-"??_);_(@_)</c:formatCode>
                <c:ptCount val="3"/>
                <c:pt idx="0">
                  <c:v>1000</c:v>
                </c:pt>
                <c:pt idx="1">
                  <c:v>2325.0100000000002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6B6-41FA-80F6-F714D19CD180}"/>
            </c:ext>
          </c:extLst>
        </c:ser>
        <c:dLbls>
          <c:dLblPos val="ctr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DESPESAS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'jul-26'!$B$3:$K$3</c:f>
              <c:strCache>
                <c:ptCount val="1"/>
                <c:pt idx="0">
                  <c:v>DESPESAS VARIAVEIS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397-44D9-8FDB-C2C761A751C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397-44D9-8FDB-C2C761A751C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397-44D9-8FDB-C2C761A751C8}"/>
              </c:ext>
            </c:extLst>
          </c:dPt>
          <c:dLbls>
            <c:dLbl>
              <c:idx val="0"/>
              <c:layout>
                <c:manualLayout>
                  <c:x val="-0.175545290659127"/>
                  <c:y val="0.12079541992077875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397-44D9-8FDB-C2C761A751C8}"/>
                </c:ext>
              </c:extLst>
            </c:dLbl>
            <c:dLbl>
              <c:idx val="1"/>
              <c:layout>
                <c:manualLayout>
                  <c:x val="0.11353180017424754"/>
                  <c:y val="-0.2144946036531585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397-44D9-8FDB-C2C761A751C8}"/>
                </c:ext>
              </c:extLst>
            </c:dLbl>
            <c:dLbl>
              <c:idx val="2"/>
              <c:layout>
                <c:manualLayout>
                  <c:x val="2.9999068488046508E-3"/>
                  <c:y val="0.1520413105184662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397-44D9-8FDB-C2C761A751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'jul-26'!$N$9:$N$11</c:f>
              <c:strCache>
                <c:ptCount val="3"/>
                <c:pt idx="0">
                  <c:v>Invest.</c:v>
                </c:pt>
                <c:pt idx="1">
                  <c:v>Desp. Fixa</c:v>
                </c:pt>
                <c:pt idx="2">
                  <c:v>Desp. Var</c:v>
                </c:pt>
              </c:strCache>
            </c:strRef>
          </c:cat>
          <c:val>
            <c:numRef>
              <c:f>'jul-26'!$O$9:$O$11</c:f>
              <c:numCache>
                <c:formatCode>_("R$"* #,##0.00_);_("R$"* \(#,##0.00\);_("R$"* "-"??_);_(@_)</c:formatCode>
                <c:ptCount val="3"/>
                <c:pt idx="0">
                  <c:v>1000</c:v>
                </c:pt>
                <c:pt idx="1">
                  <c:v>2325.0100000000002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397-44D9-8FDB-C2C761A751C8}"/>
            </c:ext>
          </c:extLst>
        </c:ser>
        <c:dLbls>
          <c:dLblPos val="ctr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DESPESAS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'ago-26'!$B$3:$K$3</c:f>
              <c:strCache>
                <c:ptCount val="1"/>
                <c:pt idx="0">
                  <c:v>DESPESAS VARIAVEIS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33E-447A-B61E-40659DAF7F3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33E-447A-B61E-40659DAF7F32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33E-447A-B61E-40659DAF7F32}"/>
              </c:ext>
            </c:extLst>
          </c:dPt>
          <c:dLbls>
            <c:dLbl>
              <c:idx val="0"/>
              <c:layout>
                <c:manualLayout>
                  <c:x val="-0.175545290659127"/>
                  <c:y val="0.12079541992077875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33E-447A-B61E-40659DAF7F32}"/>
                </c:ext>
              </c:extLst>
            </c:dLbl>
            <c:dLbl>
              <c:idx val="1"/>
              <c:layout>
                <c:manualLayout>
                  <c:x val="0.11353180017424754"/>
                  <c:y val="-0.2144946036531585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33E-447A-B61E-40659DAF7F32}"/>
                </c:ext>
              </c:extLst>
            </c:dLbl>
            <c:dLbl>
              <c:idx val="2"/>
              <c:layout>
                <c:manualLayout>
                  <c:x val="2.9999068488046508E-3"/>
                  <c:y val="0.1520413105184662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33E-447A-B61E-40659DAF7F3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'ago-26'!$N$9:$N$11</c:f>
              <c:strCache>
                <c:ptCount val="3"/>
                <c:pt idx="0">
                  <c:v>Invest.</c:v>
                </c:pt>
                <c:pt idx="1">
                  <c:v>Desp. Fixa</c:v>
                </c:pt>
                <c:pt idx="2">
                  <c:v>Desp. Var</c:v>
                </c:pt>
              </c:strCache>
            </c:strRef>
          </c:cat>
          <c:val>
            <c:numRef>
              <c:f>'ago-26'!$O$9:$O$11</c:f>
              <c:numCache>
                <c:formatCode>_("R$"* #,##0.00_);_("R$"* \(#,##0.00\);_("R$"* "-"??_);_(@_)</c:formatCode>
                <c:ptCount val="3"/>
                <c:pt idx="0">
                  <c:v>1000</c:v>
                </c:pt>
                <c:pt idx="1">
                  <c:v>2325.0100000000002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33E-447A-B61E-40659DAF7F32}"/>
            </c:ext>
          </c:extLst>
        </c:ser>
        <c:dLbls>
          <c:dLblPos val="ctr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DESPESAS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'set-26'!$B$3:$K$3</c:f>
              <c:strCache>
                <c:ptCount val="1"/>
                <c:pt idx="0">
                  <c:v>DESPESAS VARIAVEIS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742-4801-A5E8-DA5DAAE8F94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742-4801-A5E8-DA5DAAE8F94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742-4801-A5E8-DA5DAAE8F947}"/>
              </c:ext>
            </c:extLst>
          </c:dPt>
          <c:dLbls>
            <c:dLbl>
              <c:idx val="0"/>
              <c:layout>
                <c:manualLayout>
                  <c:x val="-0.175545290659127"/>
                  <c:y val="0.12079541992077875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742-4801-A5E8-DA5DAAE8F947}"/>
                </c:ext>
              </c:extLst>
            </c:dLbl>
            <c:dLbl>
              <c:idx val="1"/>
              <c:layout>
                <c:manualLayout>
                  <c:x val="0.11353180017424754"/>
                  <c:y val="-0.2144946036531585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742-4801-A5E8-DA5DAAE8F947}"/>
                </c:ext>
              </c:extLst>
            </c:dLbl>
            <c:dLbl>
              <c:idx val="2"/>
              <c:layout>
                <c:manualLayout>
                  <c:x val="2.9999068488046508E-3"/>
                  <c:y val="0.1520413105184662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742-4801-A5E8-DA5DAAE8F94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'set-26'!$N$9:$N$11</c:f>
              <c:strCache>
                <c:ptCount val="3"/>
                <c:pt idx="0">
                  <c:v>Invest.</c:v>
                </c:pt>
                <c:pt idx="1">
                  <c:v>Desp. Fixa</c:v>
                </c:pt>
                <c:pt idx="2">
                  <c:v>Desp. Var</c:v>
                </c:pt>
              </c:strCache>
            </c:strRef>
          </c:cat>
          <c:val>
            <c:numRef>
              <c:f>'set-26'!$O$9:$O$11</c:f>
              <c:numCache>
                <c:formatCode>_("R$"* #,##0.00_);_("R$"* \(#,##0.00\);_("R$"* "-"??_);_(@_)</c:formatCode>
                <c:ptCount val="3"/>
                <c:pt idx="0">
                  <c:v>1000</c:v>
                </c:pt>
                <c:pt idx="1">
                  <c:v>2325.0100000000002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742-4801-A5E8-DA5DAAE8F947}"/>
            </c:ext>
          </c:extLst>
        </c:ser>
        <c:dLbls>
          <c:dLblPos val="ctr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DESPESAS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'out-26'!$B$3:$K$3</c:f>
              <c:strCache>
                <c:ptCount val="1"/>
                <c:pt idx="0">
                  <c:v>DESPESAS VARIAVEIS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693-4E54-A51A-49DF1AD57B5D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693-4E54-A51A-49DF1AD57B5D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693-4E54-A51A-49DF1AD57B5D}"/>
              </c:ext>
            </c:extLst>
          </c:dPt>
          <c:dLbls>
            <c:dLbl>
              <c:idx val="0"/>
              <c:layout>
                <c:manualLayout>
                  <c:x val="-0.175545290659127"/>
                  <c:y val="0.12079541992077875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693-4E54-A51A-49DF1AD57B5D}"/>
                </c:ext>
              </c:extLst>
            </c:dLbl>
            <c:dLbl>
              <c:idx val="1"/>
              <c:layout>
                <c:manualLayout>
                  <c:x val="0.11353180017424754"/>
                  <c:y val="-0.2144946036531585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693-4E54-A51A-49DF1AD57B5D}"/>
                </c:ext>
              </c:extLst>
            </c:dLbl>
            <c:dLbl>
              <c:idx val="2"/>
              <c:layout>
                <c:manualLayout>
                  <c:x val="2.9999068488046508E-3"/>
                  <c:y val="0.1520413105184662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693-4E54-A51A-49DF1AD57B5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'out-26'!$N$9:$N$11</c:f>
              <c:strCache>
                <c:ptCount val="3"/>
                <c:pt idx="0">
                  <c:v>Invest.</c:v>
                </c:pt>
                <c:pt idx="1">
                  <c:v>Desp. Fixa</c:v>
                </c:pt>
                <c:pt idx="2">
                  <c:v>Desp. Var</c:v>
                </c:pt>
              </c:strCache>
            </c:strRef>
          </c:cat>
          <c:val>
            <c:numRef>
              <c:f>'out-26'!$O$9:$O$11</c:f>
              <c:numCache>
                <c:formatCode>_("R$"* #,##0.00_);_("R$"* \(#,##0.00\);_("R$"* "-"??_);_(@_)</c:formatCode>
                <c:ptCount val="3"/>
                <c:pt idx="0">
                  <c:v>1000</c:v>
                </c:pt>
                <c:pt idx="1">
                  <c:v>2325.0100000000002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693-4E54-A51A-49DF1AD57B5D}"/>
            </c:ext>
          </c:extLst>
        </c:ser>
        <c:dLbls>
          <c:dLblPos val="ctr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DESPESAS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'nov-26'!$B$3:$K$3</c:f>
              <c:strCache>
                <c:ptCount val="1"/>
                <c:pt idx="0">
                  <c:v>DESPESAS VARIAVEIS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782-436E-BB41-5F59108FC30D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782-436E-BB41-5F59108FC30D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782-436E-BB41-5F59108FC30D}"/>
              </c:ext>
            </c:extLst>
          </c:dPt>
          <c:dLbls>
            <c:dLbl>
              <c:idx val="0"/>
              <c:layout>
                <c:manualLayout>
                  <c:x val="-0.175545290659127"/>
                  <c:y val="0.12079541992077875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782-436E-BB41-5F59108FC30D}"/>
                </c:ext>
              </c:extLst>
            </c:dLbl>
            <c:dLbl>
              <c:idx val="1"/>
              <c:layout>
                <c:manualLayout>
                  <c:x val="0.11353180017424754"/>
                  <c:y val="-0.2144946036531585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782-436E-BB41-5F59108FC30D}"/>
                </c:ext>
              </c:extLst>
            </c:dLbl>
            <c:dLbl>
              <c:idx val="2"/>
              <c:layout>
                <c:manualLayout>
                  <c:x val="2.9999068488046508E-3"/>
                  <c:y val="0.1520413105184662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782-436E-BB41-5F59108FC3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'nov-26'!$N$9:$N$11</c:f>
              <c:strCache>
                <c:ptCount val="3"/>
                <c:pt idx="0">
                  <c:v>Invest.</c:v>
                </c:pt>
                <c:pt idx="1">
                  <c:v>Desp. Fixa</c:v>
                </c:pt>
                <c:pt idx="2">
                  <c:v>Desp. Var</c:v>
                </c:pt>
              </c:strCache>
            </c:strRef>
          </c:cat>
          <c:val>
            <c:numRef>
              <c:f>'nov-26'!$O$9:$O$11</c:f>
              <c:numCache>
                <c:formatCode>_("R$"* #,##0.00_);_("R$"* \(#,##0.00\);_("R$"* "-"??_);_(@_)</c:formatCode>
                <c:ptCount val="3"/>
                <c:pt idx="0">
                  <c:v>1000</c:v>
                </c:pt>
                <c:pt idx="1">
                  <c:v>2325.0100000000002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782-436E-BB41-5F59108FC30D}"/>
            </c:ext>
          </c:extLst>
        </c:ser>
        <c:dLbls>
          <c:dLblPos val="ctr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DESPESAS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'dez-26'!$B$3:$K$3</c:f>
              <c:strCache>
                <c:ptCount val="1"/>
                <c:pt idx="0">
                  <c:v>DESPESAS VARIAVEIS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A08-46AD-972C-BDB3C6C5200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A08-46AD-972C-BDB3C6C5200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A08-46AD-972C-BDB3C6C52008}"/>
              </c:ext>
            </c:extLst>
          </c:dPt>
          <c:dLbls>
            <c:dLbl>
              <c:idx val="0"/>
              <c:layout>
                <c:manualLayout>
                  <c:x val="-0.175545290659127"/>
                  <c:y val="0.12079541992077875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A08-46AD-972C-BDB3C6C52008}"/>
                </c:ext>
              </c:extLst>
            </c:dLbl>
            <c:dLbl>
              <c:idx val="1"/>
              <c:layout>
                <c:manualLayout>
                  <c:x val="0.11353180017424754"/>
                  <c:y val="-0.2144946036531585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A08-46AD-972C-BDB3C6C52008}"/>
                </c:ext>
              </c:extLst>
            </c:dLbl>
            <c:dLbl>
              <c:idx val="2"/>
              <c:layout>
                <c:manualLayout>
                  <c:x val="2.9999068488046508E-3"/>
                  <c:y val="0.1520413105184662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A08-46AD-972C-BDB3C6C5200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'dez-26'!$N$9:$N$11</c:f>
              <c:strCache>
                <c:ptCount val="3"/>
                <c:pt idx="0">
                  <c:v>Invest.</c:v>
                </c:pt>
                <c:pt idx="1">
                  <c:v>Desp. Fixa</c:v>
                </c:pt>
                <c:pt idx="2">
                  <c:v>Desp. Var</c:v>
                </c:pt>
              </c:strCache>
            </c:strRef>
          </c:cat>
          <c:val>
            <c:numRef>
              <c:f>'dez-26'!$O$9:$O$11</c:f>
              <c:numCache>
                <c:formatCode>_("R$"* #,##0.00_);_("R$"* \(#,##0.00\);_("R$"* "-"??_);_(@_)</c:formatCode>
                <c:ptCount val="3"/>
                <c:pt idx="0">
                  <c:v>1000</c:v>
                </c:pt>
                <c:pt idx="1">
                  <c:v>2325.0100000000002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A08-46AD-972C-BDB3C6C52008}"/>
            </c:ext>
          </c:extLst>
        </c:ser>
        <c:dLbls>
          <c:dLblPos val="ctr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247649</xdr:colOff>
      <xdr:row>2</xdr:row>
      <xdr:rowOff>4761</xdr:rowOff>
    </xdr:from>
    <xdr:to>
      <xdr:col>18</xdr:col>
      <xdr:colOff>0</xdr:colOff>
      <xdr:row>22</xdr:row>
      <xdr:rowOff>180975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C440AE6-4EA2-44D2-8B43-DB99AB5672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0</xdr:colOff>
      <xdr:row>1</xdr:row>
      <xdr:rowOff>190499</xdr:rowOff>
    </xdr:from>
    <xdr:to>
      <xdr:col>25</xdr:col>
      <xdr:colOff>201600</xdr:colOff>
      <xdr:row>22</xdr:row>
      <xdr:rowOff>177899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E0D484E-7DD8-4F8F-9518-79427A572D65}"/>
            </a:ext>
            <a:ext uri="{147F2762-F138-4A5C-976F-8EAC2B608ADB}">
              <a16:predDERef xmlns:a16="http://schemas.microsoft.com/office/drawing/2014/main" pred="{67236E07-328D-4C2D-A7A7-6BCDAB81BE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76199</xdr:colOff>
      <xdr:row>1</xdr:row>
      <xdr:rowOff>180974</xdr:rowOff>
    </xdr:from>
    <xdr:to>
      <xdr:col>25</xdr:col>
      <xdr:colOff>533399</xdr:colOff>
      <xdr:row>26</xdr:row>
      <xdr:rowOff>95249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6D06B5E-AF06-4869-AA4C-EBC864CAF2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76199</xdr:colOff>
      <xdr:row>1</xdr:row>
      <xdr:rowOff>180974</xdr:rowOff>
    </xdr:from>
    <xdr:to>
      <xdr:col>25</xdr:col>
      <xdr:colOff>533399</xdr:colOff>
      <xdr:row>26</xdr:row>
      <xdr:rowOff>95249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5271714-FE21-4444-9D42-F97226CB11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76199</xdr:colOff>
      <xdr:row>1</xdr:row>
      <xdr:rowOff>180974</xdr:rowOff>
    </xdr:from>
    <xdr:to>
      <xdr:col>25</xdr:col>
      <xdr:colOff>533399</xdr:colOff>
      <xdr:row>26</xdr:row>
      <xdr:rowOff>95249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93D8B76-450A-4369-9687-DE9D74BB11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76199</xdr:colOff>
      <xdr:row>1</xdr:row>
      <xdr:rowOff>180974</xdr:rowOff>
    </xdr:from>
    <xdr:to>
      <xdr:col>25</xdr:col>
      <xdr:colOff>533399</xdr:colOff>
      <xdr:row>26</xdr:row>
      <xdr:rowOff>95249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005AF90-7CD6-4AC4-870D-50E1542822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76199</xdr:colOff>
      <xdr:row>1</xdr:row>
      <xdr:rowOff>180974</xdr:rowOff>
    </xdr:from>
    <xdr:to>
      <xdr:col>25</xdr:col>
      <xdr:colOff>533399</xdr:colOff>
      <xdr:row>26</xdr:row>
      <xdr:rowOff>95249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99FBDEB-0E1C-459C-B137-B1A6CD013B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76199</xdr:colOff>
      <xdr:row>1</xdr:row>
      <xdr:rowOff>180974</xdr:rowOff>
    </xdr:from>
    <xdr:to>
      <xdr:col>25</xdr:col>
      <xdr:colOff>533399</xdr:colOff>
      <xdr:row>26</xdr:row>
      <xdr:rowOff>95249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81694F8-F781-4B01-A6E2-19EC1C3D16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76199</xdr:colOff>
      <xdr:row>1</xdr:row>
      <xdr:rowOff>180974</xdr:rowOff>
    </xdr:from>
    <xdr:to>
      <xdr:col>25</xdr:col>
      <xdr:colOff>533399</xdr:colOff>
      <xdr:row>26</xdr:row>
      <xdr:rowOff>95249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16A43D7-EFD1-4944-BD89-DE3E9D17FD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76199</xdr:colOff>
      <xdr:row>1</xdr:row>
      <xdr:rowOff>180974</xdr:rowOff>
    </xdr:from>
    <xdr:to>
      <xdr:col>25</xdr:col>
      <xdr:colOff>533399</xdr:colOff>
      <xdr:row>26</xdr:row>
      <xdr:rowOff>95249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F0E24EA-83C5-4067-A4F0-0FEC6D3D88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76199</xdr:colOff>
      <xdr:row>1</xdr:row>
      <xdr:rowOff>180974</xdr:rowOff>
    </xdr:from>
    <xdr:to>
      <xdr:col>25</xdr:col>
      <xdr:colOff>533399</xdr:colOff>
      <xdr:row>26</xdr:row>
      <xdr:rowOff>95249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D94CCDE-9A33-4DE3-BF2F-1ADBF27A97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76199</xdr:colOff>
      <xdr:row>1</xdr:row>
      <xdr:rowOff>180974</xdr:rowOff>
    </xdr:from>
    <xdr:to>
      <xdr:col>25</xdr:col>
      <xdr:colOff>533399</xdr:colOff>
      <xdr:row>26</xdr:row>
      <xdr:rowOff>95249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00E7887-6313-4A7F-81FF-2B65CFDB8C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76199</xdr:colOff>
      <xdr:row>1</xdr:row>
      <xdr:rowOff>180974</xdr:rowOff>
    </xdr:from>
    <xdr:to>
      <xdr:col>25</xdr:col>
      <xdr:colOff>533399</xdr:colOff>
      <xdr:row>26</xdr:row>
      <xdr:rowOff>95249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8146197-72C6-4547-A0A6-A500D59B22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76199</xdr:colOff>
      <xdr:row>1</xdr:row>
      <xdr:rowOff>180974</xdr:rowOff>
    </xdr:from>
    <xdr:to>
      <xdr:col>25</xdr:col>
      <xdr:colOff>533399</xdr:colOff>
      <xdr:row>26</xdr:row>
      <xdr:rowOff>95249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5C10114-712A-40CE-8B26-3596CFF8B5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D5458-4BEA-4FF3-AC03-CFEBB23AB917}">
  <dimension ref="A1:Z65"/>
  <sheetViews>
    <sheetView zoomScaleNormal="100" workbookViewId="0">
      <selection activeCell="D13" sqref="D13"/>
    </sheetView>
  </sheetViews>
  <sheetFormatPr defaultRowHeight="14.5" x14ac:dyDescent="0.35"/>
  <cols>
    <col min="1" max="1" width="4.7265625" bestFit="1" customWidth="1"/>
    <col min="2" max="2" width="7.26953125" customWidth="1"/>
    <col min="3" max="3" width="17.7265625" bestFit="1" customWidth="1"/>
    <col min="4" max="4" width="10.54296875" style="1" bestFit="1" customWidth="1"/>
    <col min="5" max="5" width="11.26953125" bestFit="1" customWidth="1"/>
    <col min="6" max="6" width="12.1796875" bestFit="1" customWidth="1"/>
    <col min="7" max="7" width="3.7265625" customWidth="1"/>
    <col min="8" max="8" width="18.54296875" bestFit="1" customWidth="1"/>
    <col min="9" max="9" width="13.26953125" bestFit="1" customWidth="1"/>
    <col min="10" max="10" width="12.1796875" customWidth="1"/>
    <col min="11" max="11" width="12" bestFit="1" customWidth="1"/>
    <col min="12" max="12" width="3.7265625" customWidth="1"/>
    <col min="13" max="13" width="12.1796875" bestFit="1" customWidth="1"/>
    <col min="19" max="19" width="3.7265625" customWidth="1"/>
  </cols>
  <sheetData>
    <row r="1" spans="1:26" x14ac:dyDescent="0.35">
      <c r="A1" s="14"/>
      <c r="B1" s="14"/>
      <c r="C1" s="14"/>
      <c r="D1" s="15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x14ac:dyDescent="0.35">
      <c r="A2" s="73">
        <v>45870</v>
      </c>
      <c r="B2" s="73"/>
      <c r="C2" s="73"/>
      <c r="D2" s="73"/>
      <c r="E2" s="73"/>
      <c r="F2" s="73"/>
      <c r="G2" s="14"/>
      <c r="H2" s="14"/>
      <c r="I2" s="14"/>
      <c r="J2" s="8" t="s">
        <v>0</v>
      </c>
      <c r="K2" s="8" t="s">
        <v>1</v>
      </c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x14ac:dyDescent="0.35">
      <c r="A3" s="74" t="s">
        <v>2</v>
      </c>
      <c r="B3" s="74"/>
      <c r="C3" s="74"/>
      <c r="D3" s="74"/>
      <c r="E3" s="74"/>
      <c r="F3" s="75"/>
      <c r="G3" s="14"/>
      <c r="H3" s="8" t="s">
        <v>3</v>
      </c>
      <c r="I3" s="6">
        <v>2034.29</v>
      </c>
      <c r="J3" s="6">
        <f>SUM(I3-K3)</f>
        <v>708.08999999999992</v>
      </c>
      <c r="K3" s="6">
        <f>SUM(D5:D63)</f>
        <v>1326.2</v>
      </c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x14ac:dyDescent="0.35">
      <c r="A4" s="13"/>
      <c r="B4" s="7" t="s">
        <v>4</v>
      </c>
      <c r="C4" s="7" t="s">
        <v>5</v>
      </c>
      <c r="D4" s="9" t="s">
        <v>6</v>
      </c>
      <c r="E4" s="7" t="s">
        <v>7</v>
      </c>
      <c r="F4" s="7" t="s">
        <v>8</v>
      </c>
      <c r="G4" s="14"/>
      <c r="H4" s="14"/>
      <c r="I4" s="15"/>
      <c r="J4" s="15"/>
      <c r="K4" s="15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5" customHeight="1" x14ac:dyDescent="0.35">
      <c r="A5" s="70" t="s">
        <v>9</v>
      </c>
      <c r="B5" s="16">
        <v>45874</v>
      </c>
      <c r="C5" s="29" t="s">
        <v>10</v>
      </c>
      <c r="D5" s="27">
        <v>45.5</v>
      </c>
      <c r="E5" s="4" t="s">
        <v>11</v>
      </c>
      <c r="F5" s="4" t="s">
        <v>12</v>
      </c>
      <c r="G5" s="14"/>
      <c r="H5" s="3"/>
      <c r="I5" s="7" t="s">
        <v>13</v>
      </c>
      <c r="J5" s="7" t="s">
        <v>14</v>
      </c>
      <c r="K5" s="7" t="s">
        <v>15</v>
      </c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15" customHeight="1" x14ac:dyDescent="0.35">
      <c r="A6" s="71"/>
      <c r="B6" s="16">
        <v>45874</v>
      </c>
      <c r="C6" s="29" t="s">
        <v>11</v>
      </c>
      <c r="D6" s="27">
        <v>119.9</v>
      </c>
      <c r="E6" s="4" t="s">
        <v>11</v>
      </c>
      <c r="F6" s="4" t="s">
        <v>12</v>
      </c>
      <c r="G6" s="14"/>
      <c r="H6" s="3" t="s">
        <v>16</v>
      </c>
      <c r="I6" s="24" t="s">
        <v>17</v>
      </c>
      <c r="J6" s="24" t="s">
        <v>17</v>
      </c>
      <c r="K6" s="12" t="s">
        <v>17</v>
      </c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15" customHeight="1" x14ac:dyDescent="0.35">
      <c r="A7" s="71"/>
      <c r="B7" s="16">
        <v>45874</v>
      </c>
      <c r="C7" s="30" t="s">
        <v>18</v>
      </c>
      <c r="D7" s="27">
        <v>27.9</v>
      </c>
      <c r="E7" s="4" t="s">
        <v>19</v>
      </c>
      <c r="F7" s="4" t="s">
        <v>12</v>
      </c>
      <c r="G7" s="14"/>
      <c r="H7" s="3" t="s">
        <v>12</v>
      </c>
      <c r="I7" s="6">
        <f>SUMIF(F5:F62,"Despesa fixa",D5:D62)</f>
        <v>1326.2</v>
      </c>
      <c r="J7" s="6">
        <f>SUMIF(F5:F62,"Despesa fixa",D5:D62)</f>
        <v>1326.2</v>
      </c>
      <c r="K7" s="6">
        <f>SUM(I7-J7)</f>
        <v>0</v>
      </c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ht="15" customHeight="1" x14ac:dyDescent="0.35">
      <c r="A8" s="71"/>
      <c r="B8" s="16">
        <v>45874</v>
      </c>
      <c r="C8" s="30" t="s">
        <v>20</v>
      </c>
      <c r="D8" s="27">
        <v>62.9</v>
      </c>
      <c r="E8" s="4" t="s">
        <v>19</v>
      </c>
      <c r="F8" s="4" t="s">
        <v>12</v>
      </c>
      <c r="G8" s="14"/>
      <c r="H8" s="3" t="s">
        <v>21</v>
      </c>
      <c r="I8" s="6">
        <f>SUM(I3-I7)</f>
        <v>708.08999999999992</v>
      </c>
      <c r="J8" s="6">
        <f>SUMIF(F5:F62,"Despesa variavel",D5:D62)</f>
        <v>0</v>
      </c>
      <c r="K8" s="6">
        <f>SUM(I8-J8)</f>
        <v>708.08999999999992</v>
      </c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ht="15" customHeight="1" x14ac:dyDescent="0.35">
      <c r="A9" s="71"/>
      <c r="B9" s="16">
        <v>45874</v>
      </c>
      <c r="C9" s="28" t="s">
        <v>22</v>
      </c>
      <c r="D9" s="27">
        <v>850</v>
      </c>
      <c r="E9" s="4" t="s">
        <v>23</v>
      </c>
      <c r="F9" s="4" t="s">
        <v>12</v>
      </c>
      <c r="G9" s="14"/>
      <c r="H9" s="7" t="s">
        <v>24</v>
      </c>
      <c r="I9" s="6"/>
      <c r="J9" s="6">
        <f>SUM(J6:J8)</f>
        <v>1326.2</v>
      </c>
      <c r="K9" s="6">
        <f>SUM(K6:K8)</f>
        <v>708.08999999999992</v>
      </c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15" customHeight="1" x14ac:dyDescent="0.35">
      <c r="A10" s="71"/>
      <c r="B10" s="16">
        <v>45874</v>
      </c>
      <c r="C10" s="28" t="s">
        <v>25</v>
      </c>
      <c r="D10" s="27">
        <v>220</v>
      </c>
      <c r="E10" s="4" t="s">
        <v>26</v>
      </c>
      <c r="F10" s="4" t="s">
        <v>12</v>
      </c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15" customHeight="1" x14ac:dyDescent="0.35">
      <c r="A11" s="71"/>
      <c r="B11" s="34"/>
      <c r="C11" s="33"/>
      <c r="D11" s="11"/>
      <c r="E11" s="33"/>
      <c r="F11" s="33"/>
      <c r="G11" s="14"/>
      <c r="H11" s="3" t="s">
        <v>27</v>
      </c>
      <c r="I11" s="7">
        <v>4</v>
      </c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15" customHeight="1" x14ac:dyDescent="0.35">
      <c r="A12" s="51"/>
      <c r="B12" s="16"/>
      <c r="C12" s="33"/>
      <c r="D12" s="11"/>
      <c r="E12" s="4"/>
      <c r="F12" s="4"/>
      <c r="G12" s="14"/>
      <c r="H12" s="3" t="s">
        <v>28</v>
      </c>
      <c r="I12" s="10">
        <f>SUM(I8/I11)</f>
        <v>177.02249999999998</v>
      </c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15" customHeight="1" x14ac:dyDescent="0.35">
      <c r="A13" s="51"/>
      <c r="B13" s="16"/>
      <c r="C13" s="31"/>
      <c r="D13" s="32"/>
      <c r="E13" s="4"/>
      <c r="F13" s="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15" customHeight="1" x14ac:dyDescent="0.35">
      <c r="A14" s="51"/>
      <c r="B14" s="17"/>
      <c r="C14" s="4"/>
      <c r="D14" s="5"/>
      <c r="E14" s="4"/>
      <c r="F14" s="4"/>
      <c r="G14" s="14"/>
      <c r="H14" s="14"/>
      <c r="I14" s="7" t="s">
        <v>13</v>
      </c>
      <c r="J14" s="7" t="s">
        <v>14</v>
      </c>
      <c r="K14" s="7" t="s">
        <v>29</v>
      </c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15" customHeight="1" x14ac:dyDescent="0.35">
      <c r="A15" s="70" t="s">
        <v>30</v>
      </c>
      <c r="B15" s="17"/>
      <c r="C15" s="4"/>
      <c r="D15" s="5"/>
      <c r="E15" s="4"/>
      <c r="F15" s="4"/>
      <c r="G15" s="14"/>
      <c r="H15" s="3" t="s">
        <v>31</v>
      </c>
      <c r="I15" s="6">
        <f>SUM(I12)</f>
        <v>177.02249999999998</v>
      </c>
      <c r="J15" s="6">
        <f>SUMIF(F13:F22,"Despesa variavel",D13:D22)</f>
        <v>0</v>
      </c>
      <c r="K15" s="6">
        <f>SUM(I15-J15)</f>
        <v>177.02249999999998</v>
      </c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15" customHeight="1" x14ac:dyDescent="0.35">
      <c r="A16" s="71"/>
      <c r="B16" s="17"/>
      <c r="C16" s="4"/>
      <c r="D16" s="5"/>
      <c r="E16" s="4"/>
      <c r="F16" s="4"/>
      <c r="G16" s="14"/>
      <c r="H16" s="3" t="s">
        <v>32</v>
      </c>
      <c r="I16" s="6">
        <f>SUM(I12)</f>
        <v>177.02249999999998</v>
      </c>
      <c r="J16" s="6">
        <f>SUMIF(F23:F32,"Despesa variavel",D23:D32)</f>
        <v>0</v>
      </c>
      <c r="K16" s="6">
        <f t="shared" ref="K16:K18" si="0">SUM(I16-J16)</f>
        <v>177.02249999999998</v>
      </c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15" customHeight="1" x14ac:dyDescent="0.35">
      <c r="A17" s="71"/>
      <c r="B17" s="17"/>
      <c r="C17" s="4"/>
      <c r="D17" s="5"/>
      <c r="E17" s="4"/>
      <c r="F17" s="4"/>
      <c r="G17" s="14"/>
      <c r="H17" s="3" t="s">
        <v>33</v>
      </c>
      <c r="I17" s="6">
        <f>SUM(I12)</f>
        <v>177.02249999999998</v>
      </c>
      <c r="J17" s="6">
        <f>SUMIF(F33:F42,"Despesa variavel",D33:D42)</f>
        <v>0</v>
      </c>
      <c r="K17" s="6">
        <f t="shared" si="0"/>
        <v>177.02249999999998</v>
      </c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15" customHeight="1" x14ac:dyDescent="0.35">
      <c r="A18" s="71"/>
      <c r="B18" s="17"/>
      <c r="C18" s="4"/>
      <c r="D18" s="5"/>
      <c r="E18" s="4"/>
      <c r="F18" s="4"/>
      <c r="G18" s="14"/>
      <c r="H18" s="3" t="s">
        <v>34</v>
      </c>
      <c r="I18" s="6">
        <f>SUM(I12)</f>
        <v>177.02249999999998</v>
      </c>
      <c r="J18" s="6">
        <f>SUMIF(F43:F52,"Despesa variavel",D43:D52)</f>
        <v>0</v>
      </c>
      <c r="K18" s="6">
        <f t="shared" si="0"/>
        <v>177.02249999999998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15" customHeight="1" x14ac:dyDescent="0.35">
      <c r="A19" s="71"/>
      <c r="B19" s="17"/>
      <c r="C19" s="4"/>
      <c r="D19" s="5"/>
      <c r="E19" s="4"/>
      <c r="F19" s="4"/>
      <c r="G19" s="14"/>
      <c r="H19" s="3" t="s">
        <v>35</v>
      </c>
      <c r="I19" s="6">
        <f>SUM(I12)</f>
        <v>177.02249999999998</v>
      </c>
      <c r="J19" s="6">
        <f>SUMIF(F53:F62,"Despesa variavel",D53:D62)</f>
        <v>0</v>
      </c>
      <c r="K19" s="6">
        <f>SUM(I19-J19)</f>
        <v>177.02249999999998</v>
      </c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5" customHeight="1" x14ac:dyDescent="0.35">
      <c r="A20" s="71"/>
      <c r="B20" s="17"/>
      <c r="C20" s="4"/>
      <c r="D20" s="5"/>
      <c r="E20" s="4"/>
      <c r="F20" s="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5" customHeight="1" x14ac:dyDescent="0.35">
      <c r="A21" s="71"/>
      <c r="B21" s="17"/>
      <c r="C21" s="4"/>
      <c r="D21" s="5"/>
      <c r="E21" s="4"/>
      <c r="F21" s="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5" customHeight="1" x14ac:dyDescent="0.35">
      <c r="A22" s="71"/>
      <c r="B22" s="17"/>
      <c r="C22" s="4"/>
      <c r="D22" s="5"/>
      <c r="E22" s="4"/>
      <c r="F22" s="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5" customHeight="1" x14ac:dyDescent="0.35">
      <c r="A23" s="71"/>
      <c r="B23" s="16"/>
      <c r="C23" s="4"/>
      <c r="D23" s="5"/>
      <c r="E23" s="4"/>
      <c r="F23" s="4"/>
      <c r="G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5" customHeight="1" x14ac:dyDescent="0.35">
      <c r="A24" s="72"/>
      <c r="B24" s="16"/>
      <c r="C24" s="4"/>
      <c r="D24" s="5"/>
      <c r="E24" s="4"/>
      <c r="F24" s="4"/>
      <c r="G24" s="14"/>
      <c r="H24" s="68" t="s">
        <v>36</v>
      </c>
      <c r="I24" s="69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5" customHeight="1" x14ac:dyDescent="0.35">
      <c r="A25" s="70" t="s">
        <v>37</v>
      </c>
      <c r="B25" s="17"/>
      <c r="C25" s="4"/>
      <c r="D25" s="5"/>
      <c r="E25" s="4"/>
      <c r="F25" s="4"/>
      <c r="G25" s="14"/>
      <c r="H25" s="20" t="s">
        <v>38</v>
      </c>
      <c r="I25" s="22">
        <f>SUM(D5:D6)</f>
        <v>165.4</v>
      </c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x14ac:dyDescent="0.35">
      <c r="A26" s="71"/>
      <c r="B26" s="17"/>
      <c r="C26" s="4"/>
      <c r="D26" s="5"/>
      <c r="E26" s="4"/>
      <c r="F26" s="4"/>
      <c r="G26" s="14"/>
      <c r="H26" s="18" t="s">
        <v>39</v>
      </c>
      <c r="I26" s="21">
        <f>SUM(D7:D8)</f>
        <v>90.8</v>
      </c>
    </row>
    <row r="27" spans="1:26" x14ac:dyDescent="0.35">
      <c r="A27" s="71"/>
      <c r="B27" s="17"/>
      <c r="C27" s="4"/>
      <c r="D27" s="5"/>
      <c r="E27" s="4"/>
      <c r="F27" s="4"/>
      <c r="G27" s="14"/>
      <c r="H27" s="25" t="s">
        <v>40</v>
      </c>
      <c r="I27" s="26">
        <f>SUM(D9:D10)</f>
        <v>1070</v>
      </c>
    </row>
    <row r="28" spans="1:26" x14ac:dyDescent="0.35">
      <c r="A28" s="71"/>
      <c r="B28" s="17"/>
      <c r="C28" s="4"/>
      <c r="D28" s="5"/>
      <c r="E28" s="4"/>
      <c r="F28" s="4"/>
      <c r="G28" s="14"/>
      <c r="H28" s="19" t="s">
        <v>41</v>
      </c>
      <c r="I28" s="23">
        <f>SUM(I25:I27)</f>
        <v>1326.2</v>
      </c>
    </row>
    <row r="29" spans="1:26" x14ac:dyDescent="0.35">
      <c r="A29" s="71"/>
      <c r="B29" s="17"/>
      <c r="C29" s="4"/>
      <c r="D29" s="5"/>
      <c r="E29" s="4"/>
      <c r="F29" s="4"/>
      <c r="G29" s="14"/>
    </row>
    <row r="30" spans="1:26" x14ac:dyDescent="0.35">
      <c r="A30" s="71"/>
      <c r="B30" s="17"/>
      <c r="C30" s="4"/>
      <c r="D30" s="5"/>
      <c r="E30" s="4"/>
      <c r="F30" s="4"/>
      <c r="G30" s="14"/>
    </row>
    <row r="31" spans="1:26" x14ac:dyDescent="0.35">
      <c r="A31" s="71"/>
      <c r="B31" s="17"/>
      <c r="C31" s="4"/>
      <c r="D31" s="5"/>
      <c r="E31" s="4"/>
      <c r="F31" s="4"/>
      <c r="G31" s="14"/>
    </row>
    <row r="32" spans="1:26" x14ac:dyDescent="0.35">
      <c r="A32" s="71"/>
      <c r="B32" s="17"/>
      <c r="C32" s="4"/>
      <c r="D32" s="5"/>
      <c r="E32" s="4"/>
      <c r="F32" s="4"/>
      <c r="G32" s="14"/>
    </row>
    <row r="33" spans="1:7" x14ac:dyDescent="0.35">
      <c r="A33" s="71"/>
      <c r="B33" s="17"/>
      <c r="C33" s="4"/>
      <c r="D33" s="5"/>
      <c r="E33" s="4"/>
      <c r="F33" s="4"/>
      <c r="G33" s="14"/>
    </row>
    <row r="34" spans="1:7" x14ac:dyDescent="0.35">
      <c r="A34" s="72"/>
      <c r="B34" s="17"/>
      <c r="C34" s="4"/>
      <c r="D34" s="5"/>
      <c r="E34" s="4"/>
      <c r="F34" s="4"/>
      <c r="G34" s="14"/>
    </row>
    <row r="35" spans="1:7" ht="15" customHeight="1" x14ac:dyDescent="0.35">
      <c r="A35" s="70" t="s">
        <v>42</v>
      </c>
      <c r="B35" s="17"/>
      <c r="C35" s="4"/>
      <c r="D35" s="5"/>
      <c r="E35" s="4"/>
      <c r="F35" s="4"/>
      <c r="G35" s="14"/>
    </row>
    <row r="36" spans="1:7" x14ac:dyDescent="0.35">
      <c r="A36" s="71"/>
      <c r="B36" s="17"/>
      <c r="C36" s="4"/>
      <c r="D36" s="5"/>
      <c r="E36" s="4"/>
      <c r="F36" s="4"/>
      <c r="G36" s="14"/>
    </row>
    <row r="37" spans="1:7" x14ac:dyDescent="0.35">
      <c r="A37" s="71"/>
      <c r="B37" s="17"/>
      <c r="C37" s="4"/>
      <c r="D37" s="5"/>
      <c r="E37" s="4"/>
      <c r="F37" s="4"/>
      <c r="G37" s="14"/>
    </row>
    <row r="38" spans="1:7" x14ac:dyDescent="0.35">
      <c r="A38" s="71"/>
      <c r="B38" s="17"/>
      <c r="C38" s="4"/>
      <c r="D38" s="5"/>
      <c r="E38" s="4"/>
      <c r="F38" s="4"/>
      <c r="G38" s="14"/>
    </row>
    <row r="39" spans="1:7" x14ac:dyDescent="0.35">
      <c r="A39" s="71"/>
      <c r="B39" s="17"/>
      <c r="C39" s="4"/>
      <c r="D39" s="5"/>
      <c r="E39" s="4"/>
      <c r="F39" s="4"/>
      <c r="G39" s="14"/>
    </row>
    <row r="40" spans="1:7" x14ac:dyDescent="0.35">
      <c r="A40" s="71"/>
      <c r="B40" s="17"/>
      <c r="C40" s="4"/>
      <c r="D40" s="5"/>
      <c r="E40" s="4"/>
      <c r="F40" s="4"/>
      <c r="G40" s="14"/>
    </row>
    <row r="41" spans="1:7" x14ac:dyDescent="0.35">
      <c r="A41" s="71"/>
      <c r="B41" s="17"/>
      <c r="C41" s="4"/>
      <c r="D41" s="5"/>
      <c r="E41" s="4"/>
      <c r="F41" s="4"/>
      <c r="G41" s="14"/>
    </row>
    <row r="42" spans="1:7" x14ac:dyDescent="0.35">
      <c r="A42" s="71"/>
      <c r="B42" s="17"/>
      <c r="C42" s="4"/>
      <c r="D42" s="5"/>
      <c r="E42" s="4"/>
      <c r="F42" s="4"/>
      <c r="G42" s="14"/>
    </row>
    <row r="43" spans="1:7" x14ac:dyDescent="0.35">
      <c r="A43" s="71"/>
      <c r="B43" s="17"/>
      <c r="C43" s="4"/>
      <c r="D43" s="5"/>
      <c r="E43" s="4"/>
      <c r="F43" s="4"/>
      <c r="G43" s="14"/>
    </row>
    <row r="44" spans="1:7" x14ac:dyDescent="0.35">
      <c r="A44" s="72"/>
      <c r="B44" s="17"/>
      <c r="C44" s="4"/>
      <c r="D44" s="5"/>
      <c r="E44" s="4"/>
      <c r="F44" s="4"/>
      <c r="G44" s="14"/>
    </row>
    <row r="45" spans="1:7" ht="15" customHeight="1" x14ac:dyDescent="0.35">
      <c r="A45" s="70" t="s">
        <v>43</v>
      </c>
      <c r="B45" s="17"/>
      <c r="C45" s="4"/>
      <c r="D45" s="5"/>
      <c r="E45" s="4"/>
      <c r="F45" s="4"/>
      <c r="G45" s="14"/>
    </row>
    <row r="46" spans="1:7" x14ac:dyDescent="0.35">
      <c r="A46" s="71"/>
      <c r="B46" s="17"/>
      <c r="C46" s="4"/>
      <c r="D46" s="5"/>
      <c r="E46" s="4"/>
      <c r="F46" s="4"/>
      <c r="G46" s="14"/>
    </row>
    <row r="47" spans="1:7" x14ac:dyDescent="0.35">
      <c r="A47" s="71"/>
      <c r="B47" s="17"/>
      <c r="C47" s="4"/>
      <c r="D47" s="5"/>
      <c r="E47" s="4"/>
      <c r="F47" s="4"/>
      <c r="G47" s="14"/>
    </row>
    <row r="48" spans="1:7" x14ac:dyDescent="0.35">
      <c r="A48" s="71"/>
      <c r="B48" s="17"/>
      <c r="C48" s="4"/>
      <c r="D48" s="5"/>
      <c r="E48" s="4"/>
      <c r="F48" s="4"/>
      <c r="G48" s="14"/>
    </row>
    <row r="49" spans="1:7" x14ac:dyDescent="0.35">
      <c r="A49" s="71"/>
      <c r="B49" s="17"/>
      <c r="C49" s="4"/>
      <c r="D49" s="5"/>
      <c r="E49" s="4"/>
      <c r="F49" s="4"/>
      <c r="G49" s="14"/>
    </row>
    <row r="50" spans="1:7" x14ac:dyDescent="0.35">
      <c r="A50" s="71"/>
      <c r="B50" s="17"/>
      <c r="C50" s="4"/>
      <c r="D50" s="5"/>
      <c r="E50" s="4"/>
      <c r="F50" s="4"/>
      <c r="G50" s="14"/>
    </row>
    <row r="51" spans="1:7" x14ac:dyDescent="0.35">
      <c r="A51" s="71"/>
      <c r="B51" s="17"/>
      <c r="C51" s="4"/>
      <c r="D51" s="5"/>
      <c r="E51" s="4"/>
      <c r="F51" s="4"/>
      <c r="G51" s="14"/>
    </row>
    <row r="52" spans="1:7" x14ac:dyDescent="0.35">
      <c r="A52" s="71"/>
      <c r="B52" s="17"/>
      <c r="C52" s="4"/>
      <c r="D52" s="5"/>
      <c r="E52" s="4"/>
      <c r="F52" s="4"/>
      <c r="G52" s="14"/>
    </row>
    <row r="53" spans="1:7" x14ac:dyDescent="0.35">
      <c r="A53" s="71"/>
      <c r="B53" s="17"/>
      <c r="C53" s="4"/>
      <c r="D53" s="5"/>
      <c r="E53" s="4"/>
      <c r="F53" s="4"/>
      <c r="G53" s="14"/>
    </row>
    <row r="54" spans="1:7" x14ac:dyDescent="0.35">
      <c r="A54" s="72"/>
      <c r="B54" s="17"/>
      <c r="C54" s="4"/>
      <c r="D54" s="5"/>
      <c r="E54" s="4"/>
      <c r="F54" s="4"/>
      <c r="G54" s="14"/>
    </row>
    <row r="55" spans="1:7" ht="15" customHeight="1" x14ac:dyDescent="0.35">
      <c r="A55" s="70" t="s">
        <v>44</v>
      </c>
      <c r="B55" s="17"/>
      <c r="C55" s="4"/>
      <c r="D55" s="5"/>
      <c r="E55" s="4"/>
      <c r="F55" s="4"/>
      <c r="G55" s="14"/>
    </row>
    <row r="56" spans="1:7" x14ac:dyDescent="0.35">
      <c r="A56" s="71"/>
      <c r="B56" s="17"/>
      <c r="C56" s="4"/>
      <c r="D56" s="5"/>
      <c r="E56" s="4"/>
      <c r="F56" s="4"/>
      <c r="G56" s="14"/>
    </row>
    <row r="57" spans="1:7" x14ac:dyDescent="0.35">
      <c r="A57" s="71"/>
      <c r="B57" s="17"/>
      <c r="C57" s="4"/>
      <c r="D57" s="5"/>
      <c r="E57" s="4"/>
      <c r="F57" s="4"/>
      <c r="G57" s="14"/>
    </row>
    <row r="58" spans="1:7" x14ac:dyDescent="0.35">
      <c r="A58" s="71"/>
      <c r="B58" s="17"/>
      <c r="C58" s="4"/>
      <c r="D58" s="5"/>
      <c r="E58" s="4"/>
      <c r="F58" s="4"/>
      <c r="G58" s="14"/>
    </row>
    <row r="59" spans="1:7" x14ac:dyDescent="0.35">
      <c r="A59" s="71"/>
      <c r="B59" s="17"/>
      <c r="C59" s="4"/>
      <c r="D59" s="5"/>
      <c r="E59" s="4"/>
      <c r="F59" s="4"/>
      <c r="G59" s="14"/>
    </row>
    <row r="60" spans="1:7" x14ac:dyDescent="0.35">
      <c r="A60" s="71"/>
      <c r="B60" s="17"/>
      <c r="C60" s="4"/>
      <c r="D60" s="5"/>
      <c r="E60" s="4"/>
      <c r="F60" s="4"/>
      <c r="G60" s="14"/>
    </row>
    <row r="61" spans="1:7" x14ac:dyDescent="0.35">
      <c r="A61" s="71"/>
      <c r="B61" s="17"/>
      <c r="C61" s="4"/>
      <c r="D61" s="5"/>
      <c r="E61" s="4"/>
      <c r="F61" s="4"/>
      <c r="G61" s="14"/>
    </row>
    <row r="62" spans="1:7" x14ac:dyDescent="0.35">
      <c r="A62" s="71"/>
      <c r="B62" s="17"/>
      <c r="C62" s="4"/>
      <c r="D62" s="5"/>
      <c r="E62" s="4"/>
      <c r="F62" s="4"/>
      <c r="G62" s="14"/>
    </row>
    <row r="63" spans="1:7" x14ac:dyDescent="0.35">
      <c r="A63" s="71"/>
      <c r="B63" s="14"/>
      <c r="C63" s="14"/>
      <c r="D63" s="15"/>
      <c r="E63" s="14"/>
      <c r="F63" s="14"/>
      <c r="G63" s="14"/>
    </row>
    <row r="64" spans="1:7" x14ac:dyDescent="0.35">
      <c r="A64" s="72"/>
      <c r="G64" s="14"/>
    </row>
    <row r="65" spans="1:7" x14ac:dyDescent="0.35">
      <c r="A65" s="14"/>
      <c r="G65" s="14"/>
    </row>
  </sheetData>
  <autoFilter ref="A2:F64" xr:uid="{7090B0D9-5087-4113-B799-3BB16A169966}">
    <filterColumn colId="0" showButton="0"/>
    <filterColumn colId="1" showButton="0"/>
    <filterColumn colId="2" showButton="0"/>
    <filterColumn colId="3" showButton="0"/>
    <filterColumn colId="4" showButton="0"/>
  </autoFilter>
  <mergeCells count="9">
    <mergeCell ref="A2:F2"/>
    <mergeCell ref="A3:F3"/>
    <mergeCell ref="A5:A11"/>
    <mergeCell ref="A15:A24"/>
    <mergeCell ref="H24:I24"/>
    <mergeCell ref="A25:A34"/>
    <mergeCell ref="A35:A44"/>
    <mergeCell ref="A45:A54"/>
    <mergeCell ref="A55:A64"/>
  </mergeCells>
  <pageMargins left="0.511811024" right="0.511811024" top="0.78740157499999996" bottom="0.78740157499999996" header="0.31496062000000002" footer="0.31496062000000002"/>
  <pageSetup paperSize="9" orientation="portrait" r:id="rId1"/>
  <ignoredErrors>
    <ignoredError sqref="I25:I27" formulaRange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A74AF86-89DC-4231-8978-878C1458C1D7}">
          <x14:formula1>
            <xm:f>'Planilha apoio'!#REF!</xm:f>
          </x14:formula1>
          <xm:sqref>F5:F1048576</xm:sqref>
        </x14:dataValidation>
        <x14:dataValidation type="list" allowBlank="1" showInputMessage="1" showErrorMessage="1" xr:uid="{EC9A4965-30BE-47A5-B877-5785347A3FEE}">
          <x14:formula1>
            <xm:f>'Planilha apoio'!$A$2:$A$13</xm:f>
          </x14:formula1>
          <xm:sqref>E38:E1048576</xm:sqref>
        </x14:dataValidation>
        <x14:dataValidation type="list" allowBlank="1" showInputMessage="1" showErrorMessage="1" xr:uid="{C12FC24F-66F7-480E-89A0-5DB7A8444E8B}">
          <x14:formula1>
            <xm:f>'Planilha apoio'!$A$2:$A$14</xm:f>
          </x14:formula1>
          <xm:sqref>E5:E37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49750-BE3B-4C4A-90FF-97173D9138D1}">
  <sheetPr codeName="Planilha2"/>
  <dimension ref="A1:B42"/>
  <sheetViews>
    <sheetView tabSelected="1" topLeftCell="A22" workbookViewId="0">
      <selection activeCell="B34" sqref="B34"/>
    </sheetView>
  </sheetViews>
  <sheetFormatPr defaultRowHeight="14.5" x14ac:dyDescent="0.35"/>
  <cols>
    <col min="1" max="1" width="15.26953125" bestFit="1" customWidth="1"/>
  </cols>
  <sheetData>
    <row r="1" spans="1:2" x14ac:dyDescent="0.35">
      <c r="A1" t="s">
        <v>7</v>
      </c>
      <c r="B1" t="s">
        <v>106</v>
      </c>
    </row>
    <row r="2" spans="1:2" x14ac:dyDescent="0.35">
      <c r="A2" t="s">
        <v>45</v>
      </c>
      <c r="B2" t="s">
        <v>108</v>
      </c>
    </row>
    <row r="3" spans="1:2" x14ac:dyDescent="0.35">
      <c r="A3" t="s">
        <v>22</v>
      </c>
      <c r="B3" t="s">
        <v>51</v>
      </c>
    </row>
    <row r="4" spans="1:2" x14ac:dyDescent="0.35">
      <c r="A4" t="s">
        <v>46</v>
      </c>
      <c r="B4" t="s">
        <v>121</v>
      </c>
    </row>
    <row r="5" spans="1:2" x14ac:dyDescent="0.35">
      <c r="A5" t="s">
        <v>47</v>
      </c>
      <c r="B5" t="s">
        <v>107</v>
      </c>
    </row>
    <row r="6" spans="1:2" x14ac:dyDescent="0.35">
      <c r="A6" t="s">
        <v>48</v>
      </c>
      <c r="B6" t="s">
        <v>54</v>
      </c>
    </row>
    <row r="7" spans="1:2" x14ac:dyDescent="0.35">
      <c r="A7" t="s">
        <v>49</v>
      </c>
      <c r="B7" t="s">
        <v>72</v>
      </c>
    </row>
    <row r="8" spans="1:2" x14ac:dyDescent="0.35">
      <c r="A8" t="s">
        <v>50</v>
      </c>
      <c r="B8" t="s">
        <v>79</v>
      </c>
    </row>
    <row r="9" spans="1:2" x14ac:dyDescent="0.35">
      <c r="A9" t="s">
        <v>26</v>
      </c>
    </row>
    <row r="10" spans="1:2" x14ac:dyDescent="0.35">
      <c r="A10" t="s">
        <v>52</v>
      </c>
    </row>
    <row r="11" spans="1:2" x14ac:dyDescent="0.35">
      <c r="A11" t="s">
        <v>53</v>
      </c>
    </row>
    <row r="12" spans="1:2" x14ac:dyDescent="0.35">
      <c r="A12" t="s">
        <v>55</v>
      </c>
    </row>
    <row r="13" spans="1:2" x14ac:dyDescent="0.35">
      <c r="A13" t="s">
        <v>56</v>
      </c>
    </row>
    <row r="14" spans="1:2" x14ac:dyDescent="0.35">
      <c r="A14" s="2" t="s">
        <v>57</v>
      </c>
    </row>
    <row r="15" spans="1:2" x14ac:dyDescent="0.35">
      <c r="A15" t="s">
        <v>58</v>
      </c>
    </row>
    <row r="16" spans="1:2" x14ac:dyDescent="0.35">
      <c r="A16" t="s">
        <v>59</v>
      </c>
    </row>
    <row r="17" spans="1:1" x14ac:dyDescent="0.35">
      <c r="A17" t="s">
        <v>60</v>
      </c>
    </row>
    <row r="18" spans="1:1" x14ac:dyDescent="0.35">
      <c r="A18" t="s">
        <v>61</v>
      </c>
    </row>
    <row r="19" spans="1:1" x14ac:dyDescent="0.35">
      <c r="A19" t="s">
        <v>62</v>
      </c>
    </row>
    <row r="20" spans="1:1" x14ac:dyDescent="0.35">
      <c r="A20" t="s">
        <v>63</v>
      </c>
    </row>
    <row r="21" spans="1:1" x14ac:dyDescent="0.35">
      <c r="A21" t="s">
        <v>64</v>
      </c>
    </row>
    <row r="22" spans="1:1" x14ac:dyDescent="0.35">
      <c r="A22" t="s">
        <v>11</v>
      </c>
    </row>
    <row r="23" spans="1:1" x14ac:dyDescent="0.35">
      <c r="A23" t="s">
        <v>16</v>
      </c>
    </row>
    <row r="24" spans="1:1" x14ac:dyDescent="0.35">
      <c r="A24" t="s">
        <v>65</v>
      </c>
    </row>
    <row r="25" spans="1:1" x14ac:dyDescent="0.35">
      <c r="A25" t="s">
        <v>66</v>
      </c>
    </row>
    <row r="26" spans="1:1" x14ac:dyDescent="0.35">
      <c r="A26" t="s">
        <v>25</v>
      </c>
    </row>
    <row r="27" spans="1:1" x14ac:dyDescent="0.35">
      <c r="A27" t="s">
        <v>67</v>
      </c>
    </row>
    <row r="28" spans="1:1" x14ac:dyDescent="0.35">
      <c r="A28" t="s">
        <v>23</v>
      </c>
    </row>
    <row r="29" spans="1:1" x14ac:dyDescent="0.35">
      <c r="A29" t="s">
        <v>68</v>
      </c>
    </row>
    <row r="30" spans="1:1" x14ac:dyDescent="0.35">
      <c r="A30" t="s">
        <v>69</v>
      </c>
    </row>
    <row r="31" spans="1:1" x14ac:dyDescent="0.35">
      <c r="A31" t="s">
        <v>70</v>
      </c>
    </row>
    <row r="32" spans="1:1" x14ac:dyDescent="0.35">
      <c r="A32" t="s">
        <v>71</v>
      </c>
    </row>
    <row r="33" spans="1:1" x14ac:dyDescent="0.35">
      <c r="A33" t="s">
        <v>73</v>
      </c>
    </row>
    <row r="34" spans="1:1" x14ac:dyDescent="0.35">
      <c r="A34" t="s">
        <v>122</v>
      </c>
    </row>
    <row r="35" spans="1:1" x14ac:dyDescent="0.35">
      <c r="A35" t="s">
        <v>74</v>
      </c>
    </row>
    <row r="36" spans="1:1" x14ac:dyDescent="0.35">
      <c r="A36" t="s">
        <v>83</v>
      </c>
    </row>
    <row r="37" spans="1:1" x14ac:dyDescent="0.35">
      <c r="A37" t="s">
        <v>75</v>
      </c>
    </row>
    <row r="38" spans="1:1" x14ac:dyDescent="0.35">
      <c r="A38" t="s">
        <v>76</v>
      </c>
    </row>
    <row r="39" spans="1:1" x14ac:dyDescent="0.35">
      <c r="A39" t="s">
        <v>19</v>
      </c>
    </row>
    <row r="40" spans="1:1" x14ac:dyDescent="0.35">
      <c r="A40" t="s">
        <v>77</v>
      </c>
    </row>
    <row r="41" spans="1:1" x14ac:dyDescent="0.35">
      <c r="A41" t="s">
        <v>78</v>
      </c>
    </row>
    <row r="42" spans="1:1" x14ac:dyDescent="0.35">
      <c r="A42" t="s">
        <v>80</v>
      </c>
    </row>
  </sheetData>
  <autoFilter ref="A1:B44" xr:uid="{47649750-BE3B-4C4A-90FF-97173D9138D1}"/>
  <sortState xmlns:xlrd2="http://schemas.microsoft.com/office/spreadsheetml/2017/richdata2" ref="B3:B46">
    <sortCondition ref="B1:B46"/>
  </sortState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5C94B-E6C8-4B93-BD15-C4F6CFDFD8CD}">
  <dimension ref="A1:Z44"/>
  <sheetViews>
    <sheetView topLeftCell="E10" zoomScaleNormal="100" workbookViewId="0">
      <selection activeCell="P16" sqref="P16"/>
    </sheetView>
  </sheetViews>
  <sheetFormatPr defaultRowHeight="14.5" x14ac:dyDescent="0.35"/>
  <cols>
    <col min="1" max="1" width="1.36328125" customWidth="1"/>
    <col min="2" max="2" width="7.1796875" bestFit="1" customWidth="1"/>
    <col min="3" max="3" width="19.54296875" bestFit="1" customWidth="1"/>
    <col min="4" max="4" width="10.54296875" style="1" bestFit="1" customWidth="1"/>
    <col min="5" max="5" width="11.26953125" bestFit="1" customWidth="1"/>
    <col min="6" max="6" width="11.26953125" customWidth="1"/>
    <col min="7" max="7" width="2.54296875" customWidth="1"/>
    <col min="8" max="8" width="7.1796875" bestFit="1" customWidth="1"/>
    <col min="9" max="9" width="19.54296875" bestFit="1" customWidth="1"/>
    <col min="10" max="10" width="10.54296875" bestFit="1" customWidth="1"/>
    <col min="11" max="11" width="11.26953125" bestFit="1" customWidth="1"/>
    <col min="12" max="12" width="11.26953125" customWidth="1"/>
    <col min="13" max="13" width="2.7265625" customWidth="1"/>
    <col min="14" max="14" width="9.54296875" bestFit="1" customWidth="1"/>
    <col min="15" max="15" width="18.36328125" customWidth="1"/>
    <col min="16" max="16" width="11.6328125" customWidth="1"/>
    <col min="17" max="17" width="11.6328125" bestFit="1" customWidth="1"/>
    <col min="18" max="18" width="11.6328125" customWidth="1"/>
    <col min="19" max="19" width="12.1796875" bestFit="1" customWidth="1"/>
    <col min="21" max="21" width="3.7265625" customWidth="1"/>
  </cols>
  <sheetData>
    <row r="1" spans="1:26" ht="7" customHeight="1" thickBot="1" x14ac:dyDescent="0.4">
      <c r="A1" s="14"/>
      <c r="B1" s="14"/>
      <c r="C1" s="14"/>
      <c r="D1" s="15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x14ac:dyDescent="0.35">
      <c r="A2" s="14"/>
      <c r="B2" s="79">
        <v>46023</v>
      </c>
      <c r="C2" s="80"/>
      <c r="D2" s="80"/>
      <c r="E2" s="80"/>
      <c r="F2" s="80"/>
      <c r="G2" s="80"/>
      <c r="H2" s="80"/>
      <c r="I2" s="80"/>
      <c r="J2" s="80"/>
      <c r="K2" s="80"/>
      <c r="L2" s="81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5" thickBot="1" x14ac:dyDescent="0.4">
      <c r="A3" s="14"/>
      <c r="B3" s="82" t="s">
        <v>81</v>
      </c>
      <c r="C3" s="83"/>
      <c r="D3" s="83"/>
      <c r="E3" s="83"/>
      <c r="F3" s="83"/>
      <c r="G3" s="84"/>
      <c r="H3" s="83"/>
      <c r="I3" s="83"/>
      <c r="J3" s="83"/>
      <c r="K3" s="83"/>
      <c r="L3" s="85"/>
      <c r="M3" s="35"/>
      <c r="N3" s="41" t="s">
        <v>82</v>
      </c>
      <c r="O3" s="8" t="s">
        <v>83</v>
      </c>
      <c r="P3" s="8" t="s">
        <v>84</v>
      </c>
      <c r="Q3" s="8" t="s">
        <v>85</v>
      </c>
      <c r="R3" s="14"/>
      <c r="S3" s="14"/>
      <c r="T3" s="14"/>
      <c r="U3" s="14"/>
      <c r="V3" s="14"/>
      <c r="W3" s="14"/>
      <c r="X3" s="14"/>
      <c r="Y3" s="14"/>
      <c r="Z3" s="14"/>
    </row>
    <row r="4" spans="1:26" ht="15" thickBot="1" x14ac:dyDescent="0.4">
      <c r="A4" s="14"/>
      <c r="B4" s="86" t="s">
        <v>86</v>
      </c>
      <c r="C4" s="87"/>
      <c r="D4" s="87"/>
      <c r="E4" s="87"/>
      <c r="F4" s="88"/>
      <c r="G4" s="14"/>
      <c r="H4" s="89" t="s">
        <v>87</v>
      </c>
      <c r="I4" s="90"/>
      <c r="J4" s="90"/>
      <c r="K4" s="90"/>
      <c r="L4" s="91"/>
      <c r="M4" s="35"/>
      <c r="N4" s="41" t="s">
        <v>88</v>
      </c>
      <c r="O4" s="40">
        <v>3000</v>
      </c>
      <c r="Q4" s="6">
        <f>SUM(O4+P4)</f>
        <v>3000</v>
      </c>
      <c r="R4" s="14"/>
      <c r="S4" s="14"/>
      <c r="T4" s="14"/>
      <c r="U4" s="14"/>
      <c r="V4" s="14"/>
      <c r="W4" s="14"/>
      <c r="X4" s="14"/>
      <c r="Y4" s="14"/>
      <c r="Z4" s="14"/>
    </row>
    <row r="5" spans="1:26" ht="15" customHeight="1" x14ac:dyDescent="0.35">
      <c r="A5" s="35"/>
      <c r="B5" s="52" t="s">
        <v>4</v>
      </c>
      <c r="C5" s="52" t="s">
        <v>5</v>
      </c>
      <c r="D5" s="53" t="s">
        <v>6</v>
      </c>
      <c r="E5" s="52" t="s">
        <v>7</v>
      </c>
      <c r="F5" s="52" t="s">
        <v>106</v>
      </c>
      <c r="G5" s="14"/>
      <c r="H5" s="52" t="s">
        <v>4</v>
      </c>
      <c r="I5" s="52" t="s">
        <v>5</v>
      </c>
      <c r="J5" s="53" t="s">
        <v>6</v>
      </c>
      <c r="K5" s="52" t="s">
        <v>7</v>
      </c>
      <c r="L5" s="52" t="s">
        <v>106</v>
      </c>
      <c r="M5" s="14"/>
      <c r="N5" s="41" t="s">
        <v>89</v>
      </c>
      <c r="O5" s="40">
        <v>2000</v>
      </c>
      <c r="P5" s="6"/>
      <c r="Q5" s="6">
        <f>SUM(O5+P5)</f>
        <v>2000</v>
      </c>
      <c r="R5" s="14"/>
      <c r="S5" s="14"/>
      <c r="T5" s="14"/>
      <c r="U5" s="14"/>
      <c r="V5" s="14"/>
      <c r="W5" s="14"/>
      <c r="X5" s="14"/>
      <c r="Y5" s="14"/>
      <c r="Z5" s="14"/>
    </row>
    <row r="6" spans="1:26" ht="15" customHeight="1" x14ac:dyDescent="0.35">
      <c r="A6" s="35"/>
      <c r="B6" s="37"/>
      <c r="C6" s="39"/>
      <c r="D6" s="44"/>
      <c r="E6" s="39"/>
      <c r="F6" s="39"/>
      <c r="G6" s="42"/>
      <c r="H6" s="37"/>
      <c r="I6" s="39"/>
      <c r="J6" s="44"/>
      <c r="K6" s="39"/>
      <c r="L6" s="39"/>
      <c r="M6" s="35"/>
      <c r="N6" s="41" t="s">
        <v>101</v>
      </c>
      <c r="O6" s="40">
        <v>1012</v>
      </c>
      <c r="P6" s="41" t="s">
        <v>85</v>
      </c>
      <c r="Q6" s="6">
        <f>SUM(Q4:Q5)</f>
        <v>5000</v>
      </c>
      <c r="R6" s="14"/>
      <c r="S6" s="14"/>
      <c r="T6" s="14"/>
      <c r="U6" s="14"/>
      <c r="V6" s="14"/>
      <c r="W6" s="14"/>
      <c r="X6" s="14"/>
      <c r="Y6" s="14"/>
      <c r="Z6" s="14"/>
    </row>
    <row r="7" spans="1:26" ht="15" customHeight="1" x14ac:dyDescent="0.35">
      <c r="A7" s="35"/>
      <c r="B7" s="37"/>
      <c r="C7" s="39"/>
      <c r="D7" s="44"/>
      <c r="E7" s="39"/>
      <c r="F7" s="39"/>
      <c r="G7" s="42"/>
      <c r="H7" s="37"/>
      <c r="I7" s="39"/>
      <c r="J7" s="44"/>
      <c r="K7" s="39"/>
      <c r="L7" s="39"/>
      <c r="M7" s="35"/>
      <c r="N7" s="14"/>
      <c r="O7" s="14"/>
      <c r="P7" s="41" t="s">
        <v>90</v>
      </c>
      <c r="Q7" s="6">
        <f>SUM(Q6+O6)</f>
        <v>6012</v>
      </c>
      <c r="R7" s="14"/>
      <c r="S7" s="14"/>
      <c r="T7" s="14"/>
      <c r="U7" s="14"/>
      <c r="V7" s="14"/>
      <c r="W7" s="14"/>
      <c r="X7" s="14"/>
      <c r="Y7" s="14"/>
      <c r="Z7" s="14"/>
    </row>
    <row r="8" spans="1:26" ht="15" customHeight="1" x14ac:dyDescent="0.35">
      <c r="A8" s="35"/>
      <c r="B8" s="37"/>
      <c r="C8" s="39"/>
      <c r="D8" s="44"/>
      <c r="E8" s="39"/>
      <c r="F8" s="39"/>
      <c r="G8" s="42"/>
      <c r="H8" s="37"/>
      <c r="I8" s="39"/>
      <c r="J8" s="44"/>
      <c r="K8" s="39"/>
      <c r="L8" s="39"/>
      <c r="M8" s="35"/>
      <c r="N8" s="42"/>
      <c r="O8" s="15"/>
      <c r="P8" s="15"/>
      <c r="Q8" s="15"/>
      <c r="R8" s="15"/>
      <c r="S8" s="14"/>
      <c r="T8" s="14"/>
      <c r="U8" s="14"/>
      <c r="V8" s="14"/>
      <c r="W8" s="14"/>
      <c r="X8" s="14"/>
      <c r="Y8" s="14"/>
      <c r="Z8" s="14"/>
    </row>
    <row r="9" spans="1:26" ht="15" customHeight="1" thickBot="1" x14ac:dyDescent="0.4">
      <c r="A9" s="35"/>
      <c r="B9" s="39"/>
      <c r="C9" s="39"/>
      <c r="D9" s="44"/>
      <c r="E9" s="39"/>
      <c r="F9" s="39"/>
      <c r="G9" s="42"/>
      <c r="H9" s="39"/>
      <c r="I9" s="56"/>
      <c r="J9" s="44"/>
      <c r="K9" s="39"/>
      <c r="L9" s="39"/>
      <c r="M9" s="35"/>
      <c r="N9" s="43" t="s">
        <v>91</v>
      </c>
      <c r="O9" s="24">
        <v>1000</v>
      </c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15" customHeight="1" thickBot="1" x14ac:dyDescent="0.4">
      <c r="A10" s="35"/>
      <c r="B10" s="39"/>
      <c r="C10" s="39"/>
      <c r="D10" s="44"/>
      <c r="E10" s="39"/>
      <c r="F10" s="39"/>
      <c r="G10" s="42"/>
      <c r="H10" s="54"/>
      <c r="I10" s="58"/>
      <c r="J10" s="55"/>
      <c r="K10" s="39"/>
      <c r="L10" s="39"/>
      <c r="M10" s="35"/>
      <c r="N10" s="43" t="s">
        <v>92</v>
      </c>
      <c r="O10" s="6">
        <f>SUM(P16:P19) + SUM(P21:P33)</f>
        <v>3669.08</v>
      </c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15" customHeight="1" x14ac:dyDescent="0.35">
      <c r="A11" s="35"/>
      <c r="B11" s="39"/>
      <c r="C11" s="39"/>
      <c r="D11" s="44"/>
      <c r="E11" s="39"/>
      <c r="F11" s="39"/>
      <c r="G11" s="42"/>
      <c r="H11" s="39"/>
      <c r="I11" s="57"/>
      <c r="J11" s="44"/>
      <c r="K11" s="39"/>
      <c r="L11" s="39"/>
      <c r="M11" s="35"/>
      <c r="N11" s="43" t="s">
        <v>93</v>
      </c>
      <c r="O11" s="6" cm="1">
        <f t="array" ref="O11">SUM(D6:D35+J6:J35)</f>
        <v>0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15" customHeight="1" x14ac:dyDescent="0.35">
      <c r="A12" s="35"/>
      <c r="B12" s="39"/>
      <c r="C12" s="39"/>
      <c r="D12" s="44"/>
      <c r="E12" s="39"/>
      <c r="F12" s="39"/>
      <c r="G12" s="42"/>
      <c r="H12" s="39"/>
      <c r="I12" s="39"/>
      <c r="J12" s="44"/>
      <c r="K12" s="39"/>
      <c r="L12" s="39"/>
      <c r="M12" s="35"/>
      <c r="N12" s="43" t="s">
        <v>24</v>
      </c>
      <c r="O12" s="6">
        <f>SUM(O9:O11)</f>
        <v>4669.08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15" customHeight="1" thickBot="1" x14ac:dyDescent="0.4">
      <c r="A13" s="35"/>
      <c r="B13" s="39"/>
      <c r="C13" s="39"/>
      <c r="D13" s="44"/>
      <c r="E13" s="39"/>
      <c r="F13" s="39"/>
      <c r="G13" s="42"/>
      <c r="H13" s="39"/>
      <c r="I13" s="39"/>
      <c r="J13" s="44"/>
      <c r="K13" s="39"/>
      <c r="L13" s="39"/>
      <c r="M13" s="35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15" customHeight="1" thickBot="1" x14ac:dyDescent="0.4">
      <c r="A14" s="35"/>
      <c r="B14" s="37"/>
      <c r="C14" s="39"/>
      <c r="D14" s="44"/>
      <c r="E14" s="39"/>
      <c r="F14" s="39"/>
      <c r="G14" s="42"/>
      <c r="H14" s="37"/>
      <c r="I14" s="39"/>
      <c r="J14" s="44"/>
      <c r="K14" s="39"/>
      <c r="L14" s="39"/>
      <c r="M14" s="35"/>
      <c r="N14" s="76" t="s">
        <v>94</v>
      </c>
      <c r="O14" s="77"/>
      <c r="P14" s="77"/>
      <c r="Q14" s="77"/>
      <c r="R14" s="78"/>
      <c r="S14" s="14"/>
      <c r="T14" s="14"/>
      <c r="U14" s="14"/>
      <c r="V14" s="14"/>
      <c r="W14" s="14"/>
      <c r="X14" s="14"/>
      <c r="Y14" s="14"/>
      <c r="Z14" s="14"/>
    </row>
    <row r="15" spans="1:26" ht="15" customHeight="1" x14ac:dyDescent="0.35">
      <c r="A15" s="35"/>
      <c r="B15" s="37"/>
      <c r="C15" s="39"/>
      <c r="D15" s="44"/>
      <c r="E15" s="39"/>
      <c r="F15" s="39"/>
      <c r="G15" s="42"/>
      <c r="H15" s="37"/>
      <c r="I15" s="39"/>
      <c r="J15" s="44"/>
      <c r="K15" s="39"/>
      <c r="L15" s="39"/>
      <c r="M15" s="35"/>
      <c r="N15" s="59" t="s">
        <v>4</v>
      </c>
      <c r="O15" s="60" t="s">
        <v>5</v>
      </c>
      <c r="P15" s="61" t="s">
        <v>6</v>
      </c>
      <c r="Q15" s="59" t="s">
        <v>7</v>
      </c>
      <c r="R15" s="59" t="s">
        <v>106</v>
      </c>
      <c r="S15" s="14"/>
      <c r="T15" s="14"/>
      <c r="U15" s="14"/>
      <c r="V15" s="14"/>
      <c r="W15" s="14"/>
      <c r="X15" s="14"/>
      <c r="Y15" s="14"/>
      <c r="Z15" s="14"/>
    </row>
    <row r="16" spans="1:26" ht="15" customHeight="1" x14ac:dyDescent="0.35">
      <c r="A16" s="14"/>
      <c r="B16" s="39"/>
      <c r="C16" s="39"/>
      <c r="D16" s="44"/>
      <c r="E16" s="39"/>
      <c r="F16" s="39"/>
      <c r="G16" s="42"/>
      <c r="H16" s="39"/>
      <c r="I16" s="39"/>
      <c r="J16" s="44"/>
      <c r="K16" s="39"/>
      <c r="L16" s="39"/>
      <c r="M16" s="14"/>
      <c r="N16" s="37">
        <v>45662</v>
      </c>
      <c r="O16" s="45" t="s">
        <v>22</v>
      </c>
      <c r="P16" s="50">
        <v>850</v>
      </c>
      <c r="Q16" s="37" t="s">
        <v>22</v>
      </c>
      <c r="R16" s="37" t="s">
        <v>72</v>
      </c>
      <c r="S16" s="14"/>
      <c r="T16" s="14"/>
      <c r="U16" s="14"/>
      <c r="V16" s="14"/>
      <c r="W16" s="14"/>
      <c r="X16" s="14"/>
      <c r="Y16" s="14"/>
      <c r="Z16" s="14"/>
    </row>
    <row r="17" spans="1:26" ht="15" customHeight="1" x14ac:dyDescent="0.35">
      <c r="A17" s="14"/>
      <c r="B17" s="39"/>
      <c r="C17" s="39"/>
      <c r="D17" s="44"/>
      <c r="E17" s="39"/>
      <c r="F17" s="39"/>
      <c r="G17" s="42"/>
      <c r="H17" s="39"/>
      <c r="I17" s="39"/>
      <c r="J17" s="44"/>
      <c r="K17" s="39"/>
      <c r="L17" s="39"/>
      <c r="M17" s="35"/>
      <c r="N17" s="37">
        <v>45662</v>
      </c>
      <c r="O17" s="45" t="s">
        <v>25</v>
      </c>
      <c r="P17" s="50">
        <v>220</v>
      </c>
      <c r="Q17" s="37" t="s">
        <v>25</v>
      </c>
      <c r="R17" s="37" t="s">
        <v>72</v>
      </c>
      <c r="S17" s="14"/>
      <c r="T17" s="14"/>
      <c r="U17" s="14"/>
      <c r="V17" s="14"/>
      <c r="W17" s="14"/>
      <c r="X17" s="14"/>
      <c r="Y17" s="14"/>
      <c r="Z17" s="14"/>
    </row>
    <row r="18" spans="1:26" ht="15" customHeight="1" x14ac:dyDescent="0.35">
      <c r="A18" s="36"/>
      <c r="B18" s="39"/>
      <c r="C18" s="39"/>
      <c r="D18" s="44"/>
      <c r="E18" s="39"/>
      <c r="F18" s="39"/>
      <c r="G18" s="42"/>
      <c r="H18" s="39"/>
      <c r="I18" s="39"/>
      <c r="J18" s="44"/>
      <c r="K18" s="39"/>
      <c r="L18" s="39"/>
      <c r="M18" s="35"/>
      <c r="N18" s="37">
        <v>45662</v>
      </c>
      <c r="O18" s="46" t="s">
        <v>96</v>
      </c>
      <c r="P18" s="50">
        <v>1900</v>
      </c>
      <c r="Q18" s="48" t="s">
        <v>60</v>
      </c>
      <c r="R18" s="48" t="s">
        <v>72</v>
      </c>
      <c r="S18" s="14"/>
      <c r="T18" s="14"/>
      <c r="U18" s="14"/>
      <c r="V18" s="14"/>
      <c r="W18" s="14"/>
      <c r="X18" s="14"/>
      <c r="Y18" s="14"/>
      <c r="Z18" s="14"/>
    </row>
    <row r="19" spans="1:26" ht="15" customHeight="1" thickBot="1" x14ac:dyDescent="0.4">
      <c r="A19" s="36"/>
      <c r="B19" s="39"/>
      <c r="C19" s="39"/>
      <c r="D19" s="44"/>
      <c r="E19" s="39"/>
      <c r="F19" s="39"/>
      <c r="G19" s="42"/>
      <c r="H19" s="39"/>
      <c r="I19" s="39"/>
      <c r="J19" s="44"/>
      <c r="K19" s="39"/>
      <c r="L19" s="39"/>
      <c r="M19" s="14"/>
      <c r="N19" s="37">
        <v>45662</v>
      </c>
      <c r="O19" s="62" t="s">
        <v>100</v>
      </c>
      <c r="P19" s="63">
        <v>143.15</v>
      </c>
      <c r="Q19" s="64" t="s">
        <v>59</v>
      </c>
      <c r="R19" s="64" t="s">
        <v>108</v>
      </c>
      <c r="S19" s="14"/>
      <c r="T19" s="14"/>
      <c r="U19" s="14"/>
      <c r="V19" s="14"/>
      <c r="W19" s="14"/>
      <c r="X19" s="14"/>
      <c r="Y19" s="14"/>
      <c r="Z19" s="14"/>
    </row>
    <row r="20" spans="1:26" ht="15" customHeight="1" thickBot="1" x14ac:dyDescent="0.4">
      <c r="A20" s="14"/>
      <c r="B20" s="39"/>
      <c r="C20" s="39"/>
      <c r="D20" s="44"/>
      <c r="E20" s="39"/>
      <c r="F20" s="39"/>
      <c r="G20" s="42"/>
      <c r="H20" s="39"/>
      <c r="I20" s="39"/>
      <c r="J20" s="44"/>
      <c r="K20" s="39"/>
      <c r="L20" s="39"/>
      <c r="M20" s="14"/>
      <c r="N20" s="76" t="s">
        <v>105</v>
      </c>
      <c r="O20" s="77"/>
      <c r="P20" s="77"/>
      <c r="Q20" s="77"/>
      <c r="R20" s="78"/>
      <c r="S20" s="14"/>
      <c r="T20" s="14"/>
      <c r="U20" s="14"/>
      <c r="V20" s="14"/>
      <c r="W20" s="14"/>
      <c r="X20" s="14"/>
      <c r="Y20" s="14"/>
      <c r="Z20" s="14"/>
    </row>
    <row r="21" spans="1:26" ht="15" customHeight="1" x14ac:dyDescent="0.35">
      <c r="A21" s="14"/>
      <c r="B21" s="39"/>
      <c r="C21" s="39"/>
      <c r="D21" s="44"/>
      <c r="E21" s="39"/>
      <c r="F21" s="39"/>
      <c r="G21" s="42"/>
      <c r="H21" s="39"/>
      <c r="I21" s="39"/>
      <c r="J21" s="44"/>
      <c r="K21" s="39"/>
      <c r="L21" s="39"/>
      <c r="M21" s="14"/>
      <c r="N21" s="65">
        <v>45693</v>
      </c>
      <c r="O21" s="66" t="s">
        <v>18</v>
      </c>
      <c r="P21" s="67">
        <v>40.9</v>
      </c>
      <c r="Q21" s="65" t="s">
        <v>19</v>
      </c>
      <c r="R21" s="37" t="s">
        <v>51</v>
      </c>
      <c r="S21" s="14"/>
      <c r="T21" s="14"/>
      <c r="U21" s="14"/>
      <c r="V21" s="14"/>
      <c r="W21" s="14"/>
      <c r="X21" s="14"/>
      <c r="Y21" s="14"/>
      <c r="Z21" s="14"/>
    </row>
    <row r="22" spans="1:26" ht="15" customHeight="1" x14ac:dyDescent="0.35">
      <c r="A22" s="14"/>
      <c r="B22" s="39"/>
      <c r="C22" s="39"/>
      <c r="D22" s="44"/>
      <c r="E22" s="39"/>
      <c r="F22" s="39"/>
      <c r="G22" s="42"/>
      <c r="H22" s="39"/>
      <c r="I22" s="39"/>
      <c r="J22" s="44"/>
      <c r="K22" s="39"/>
      <c r="L22" s="39"/>
      <c r="M22" s="14"/>
      <c r="N22" s="65">
        <v>45693</v>
      </c>
      <c r="O22" s="46" t="s">
        <v>97</v>
      </c>
      <c r="P22" s="49">
        <v>66.900000000000006</v>
      </c>
      <c r="Q22" s="65" t="s">
        <v>19</v>
      </c>
      <c r="R22" s="37" t="s">
        <v>51</v>
      </c>
      <c r="S22" s="14"/>
      <c r="T22" s="14"/>
      <c r="U22" s="14"/>
      <c r="V22" s="14"/>
      <c r="W22" s="14"/>
      <c r="X22" s="14"/>
      <c r="Y22" s="14"/>
      <c r="Z22" s="14"/>
    </row>
    <row r="23" spans="1:26" ht="15" customHeight="1" x14ac:dyDescent="0.35">
      <c r="A23" s="14"/>
      <c r="B23" s="39"/>
      <c r="C23" s="39"/>
      <c r="D23" s="44"/>
      <c r="E23" s="39"/>
      <c r="F23" s="39"/>
      <c r="G23" s="42"/>
      <c r="H23" s="39"/>
      <c r="I23" s="39"/>
      <c r="J23" s="44"/>
      <c r="K23" s="39"/>
      <c r="L23" s="39"/>
      <c r="M23" s="14"/>
      <c r="N23" s="65">
        <v>45693</v>
      </c>
      <c r="O23" s="46" t="s">
        <v>102</v>
      </c>
      <c r="P23" s="49">
        <v>59.99</v>
      </c>
      <c r="Q23" s="46" t="s">
        <v>19</v>
      </c>
      <c r="R23" s="37" t="s">
        <v>51</v>
      </c>
      <c r="S23" s="14"/>
      <c r="T23" s="14"/>
      <c r="U23" s="14"/>
      <c r="V23" s="14"/>
      <c r="W23" s="14"/>
      <c r="X23" s="14"/>
      <c r="Y23" s="14"/>
      <c r="Z23" s="14"/>
    </row>
    <row r="24" spans="1:26" ht="15" customHeight="1" x14ac:dyDescent="0.35">
      <c r="A24" s="14"/>
      <c r="B24" s="39"/>
      <c r="C24" s="39"/>
      <c r="D24" s="44"/>
      <c r="E24" s="39"/>
      <c r="F24" s="39"/>
      <c r="G24" s="42"/>
      <c r="H24" s="39"/>
      <c r="I24" s="39"/>
      <c r="J24" s="44"/>
      <c r="K24" s="39"/>
      <c r="L24" s="39"/>
      <c r="M24" s="14"/>
      <c r="N24" s="65">
        <v>45693</v>
      </c>
      <c r="O24" s="45" t="s">
        <v>103</v>
      </c>
      <c r="P24" s="50">
        <v>119.9</v>
      </c>
      <c r="Q24" s="37" t="s">
        <v>11</v>
      </c>
      <c r="R24" s="37" t="s">
        <v>51</v>
      </c>
      <c r="S24" s="14"/>
      <c r="T24" s="14"/>
      <c r="U24" s="14"/>
      <c r="V24" s="14"/>
      <c r="W24" s="14"/>
      <c r="X24" s="14"/>
      <c r="Y24" s="14"/>
      <c r="Z24" s="14"/>
    </row>
    <row r="25" spans="1:26" ht="15" customHeight="1" x14ac:dyDescent="0.35">
      <c r="A25" s="14"/>
      <c r="B25" s="39"/>
      <c r="C25" s="39"/>
      <c r="D25" s="44"/>
      <c r="E25" s="39"/>
      <c r="F25" s="39"/>
      <c r="G25" s="42"/>
      <c r="H25" s="39"/>
      <c r="I25" s="39"/>
      <c r="J25" s="44"/>
      <c r="K25" s="39"/>
      <c r="L25" s="39"/>
      <c r="M25" s="14"/>
      <c r="N25" s="65">
        <v>45693</v>
      </c>
      <c r="O25" s="45" t="s">
        <v>95</v>
      </c>
      <c r="P25" s="50">
        <v>50.08</v>
      </c>
      <c r="Q25" s="37" t="s">
        <v>11</v>
      </c>
      <c r="R25" s="37" t="s">
        <v>51</v>
      </c>
      <c r="S25" s="14"/>
      <c r="T25" s="14"/>
      <c r="U25" s="14"/>
      <c r="V25" s="14"/>
      <c r="W25" s="14"/>
      <c r="X25" s="14"/>
      <c r="Y25" s="14"/>
      <c r="Z25" s="14"/>
    </row>
    <row r="26" spans="1:26" ht="15" customHeight="1" x14ac:dyDescent="0.35">
      <c r="A26" s="14"/>
      <c r="B26" s="39"/>
      <c r="C26" s="39"/>
      <c r="D26" s="44"/>
      <c r="E26" s="39"/>
      <c r="F26" s="39"/>
      <c r="G26" s="42"/>
      <c r="H26" s="39"/>
      <c r="I26" s="39"/>
      <c r="J26" s="44"/>
      <c r="K26" s="39"/>
      <c r="L26" s="39"/>
      <c r="M26" s="14"/>
      <c r="N26" s="65">
        <v>45693</v>
      </c>
      <c r="O26" s="46" t="s">
        <v>104</v>
      </c>
      <c r="P26" s="49">
        <v>38.36</v>
      </c>
      <c r="Q26" s="37" t="s">
        <v>11</v>
      </c>
      <c r="R26" s="37" t="s">
        <v>51</v>
      </c>
      <c r="S26" s="14"/>
      <c r="T26" s="14"/>
      <c r="U26" s="14"/>
      <c r="V26" s="14"/>
      <c r="W26" s="14"/>
      <c r="X26" s="14"/>
      <c r="Y26" s="14"/>
      <c r="Z26" s="14"/>
    </row>
    <row r="27" spans="1:26" ht="15" customHeight="1" x14ac:dyDescent="0.35">
      <c r="A27" s="14"/>
      <c r="B27" s="39"/>
      <c r="C27" s="39"/>
      <c r="D27" s="44"/>
      <c r="E27" s="39"/>
      <c r="F27" s="39"/>
      <c r="G27" s="42"/>
      <c r="H27" s="39"/>
      <c r="I27" s="39"/>
      <c r="J27" s="44"/>
      <c r="K27" s="39"/>
      <c r="L27" s="39"/>
      <c r="M27" s="14"/>
      <c r="N27" s="65">
        <v>45693</v>
      </c>
      <c r="O27" s="46" t="s">
        <v>110</v>
      </c>
      <c r="P27" s="50">
        <v>89.9</v>
      </c>
      <c r="Q27" s="37" t="s">
        <v>75</v>
      </c>
      <c r="R27" s="37" t="s">
        <v>51</v>
      </c>
      <c r="S27" s="14"/>
      <c r="T27" s="14"/>
      <c r="U27" s="14"/>
      <c r="V27" s="14"/>
      <c r="W27" s="14"/>
      <c r="X27" s="14"/>
      <c r="Y27" s="14"/>
      <c r="Z27" s="14"/>
    </row>
    <row r="28" spans="1:26" ht="15" customHeight="1" x14ac:dyDescent="0.35">
      <c r="A28" s="14"/>
      <c r="B28" s="39"/>
      <c r="C28" s="39"/>
      <c r="D28" s="44"/>
      <c r="E28" s="39"/>
      <c r="F28" s="39"/>
      <c r="G28" s="42"/>
      <c r="H28" s="39"/>
      <c r="I28" s="39"/>
      <c r="J28" s="44"/>
      <c r="K28" s="39"/>
      <c r="L28" s="39"/>
      <c r="M28" s="14"/>
      <c r="N28" s="65">
        <v>45693</v>
      </c>
      <c r="O28" s="46" t="s">
        <v>99</v>
      </c>
      <c r="P28" s="50">
        <v>89.9</v>
      </c>
      <c r="Q28" s="37" t="s">
        <v>75</v>
      </c>
      <c r="R28" s="37" t="s">
        <v>51</v>
      </c>
      <c r="S28" s="14"/>
      <c r="T28" s="14"/>
      <c r="U28" s="14"/>
      <c r="V28" s="14"/>
      <c r="W28" s="14"/>
      <c r="X28" s="14"/>
      <c r="Y28" s="14"/>
      <c r="Z28" s="14"/>
    </row>
    <row r="29" spans="1:26" ht="15" customHeight="1" x14ac:dyDescent="0.35">
      <c r="A29" s="14"/>
      <c r="B29" s="39"/>
      <c r="C29" s="39"/>
      <c r="D29" s="44"/>
      <c r="E29" s="39"/>
      <c r="F29" s="39"/>
      <c r="G29" s="42"/>
      <c r="H29" s="39"/>
      <c r="I29" s="39"/>
      <c r="J29" s="44"/>
      <c r="K29" s="39"/>
      <c r="L29" s="39"/>
      <c r="M29" s="14"/>
      <c r="N29" s="65"/>
      <c r="O29" s="46"/>
      <c r="P29" s="49"/>
      <c r="Q29" s="46"/>
      <c r="R29" s="37"/>
      <c r="S29" s="14"/>
      <c r="T29" s="14"/>
      <c r="U29" s="14"/>
      <c r="V29" s="14"/>
      <c r="W29" s="14"/>
      <c r="X29" s="14"/>
      <c r="Y29" s="14"/>
      <c r="Z29" s="14"/>
    </row>
    <row r="30" spans="1:26" ht="15" customHeight="1" x14ac:dyDescent="0.35">
      <c r="A30" s="14"/>
      <c r="B30" s="39"/>
      <c r="C30" s="39"/>
      <c r="D30" s="44"/>
      <c r="E30" s="39"/>
      <c r="F30" s="39"/>
      <c r="G30" s="42"/>
      <c r="H30" s="39"/>
      <c r="I30" s="39"/>
      <c r="J30" s="44"/>
      <c r="K30" s="39"/>
      <c r="L30" s="39"/>
      <c r="M30" s="14"/>
      <c r="N30" s="65"/>
      <c r="O30" s="46"/>
      <c r="P30" s="49"/>
      <c r="Q30" s="46"/>
      <c r="R30" s="37"/>
      <c r="S30" s="14"/>
      <c r="T30" s="14"/>
      <c r="U30" s="14"/>
      <c r="V30" s="14"/>
      <c r="W30" s="14"/>
      <c r="X30" s="14"/>
      <c r="Y30" s="14"/>
      <c r="Z30" s="14"/>
    </row>
    <row r="31" spans="1:26" ht="15" customHeight="1" x14ac:dyDescent="0.35">
      <c r="A31" s="14"/>
      <c r="B31" s="39"/>
      <c r="C31" s="39"/>
      <c r="D31" s="44"/>
      <c r="E31" s="39"/>
      <c r="F31" s="39"/>
      <c r="G31" s="42"/>
      <c r="H31" s="39"/>
      <c r="I31" s="39"/>
      <c r="J31" s="44"/>
      <c r="K31" s="39"/>
      <c r="L31" s="39"/>
      <c r="M31" s="14"/>
      <c r="N31" s="37"/>
      <c r="O31" s="46"/>
      <c r="P31" s="49"/>
      <c r="Q31" s="46"/>
      <c r="R31" s="37"/>
      <c r="S31" s="14"/>
      <c r="T31" s="14"/>
      <c r="U31" s="14"/>
      <c r="V31" s="14"/>
      <c r="W31" s="14"/>
      <c r="X31" s="14"/>
      <c r="Y31" s="14"/>
      <c r="Z31" s="14"/>
    </row>
    <row r="32" spans="1:26" ht="15" customHeight="1" x14ac:dyDescent="0.35">
      <c r="A32" s="14"/>
      <c r="B32" s="39"/>
      <c r="C32" s="39"/>
      <c r="D32" s="44"/>
      <c r="E32" s="39"/>
      <c r="F32" s="39"/>
      <c r="G32" s="42"/>
      <c r="H32" s="39"/>
      <c r="I32" s="39"/>
      <c r="J32" s="44"/>
      <c r="K32" s="39"/>
      <c r="L32" s="39"/>
      <c r="M32" s="14"/>
      <c r="N32" s="37"/>
      <c r="O32" s="46"/>
      <c r="P32" s="49"/>
      <c r="Q32" s="46"/>
      <c r="R32" s="64"/>
      <c r="S32" s="14"/>
      <c r="T32" s="14"/>
      <c r="U32" s="14"/>
      <c r="V32" s="14"/>
      <c r="W32" s="14"/>
      <c r="X32" s="14"/>
      <c r="Y32" s="14"/>
      <c r="Z32" s="14"/>
    </row>
    <row r="33" spans="1:26" ht="15" customHeight="1" x14ac:dyDescent="0.35">
      <c r="A33" s="14"/>
      <c r="B33" s="39"/>
      <c r="C33" s="39"/>
      <c r="D33" s="44"/>
      <c r="E33" s="39"/>
      <c r="F33" s="39"/>
      <c r="G33" s="42"/>
      <c r="H33" s="39"/>
      <c r="I33" s="39"/>
      <c r="J33" s="44"/>
      <c r="K33" s="39"/>
      <c r="L33" s="39"/>
      <c r="M33" s="14"/>
      <c r="N33" s="37"/>
      <c r="O33" s="46"/>
      <c r="P33" s="49"/>
      <c r="Q33" s="46"/>
      <c r="R33" s="37"/>
      <c r="S33" s="14"/>
      <c r="T33" s="14"/>
      <c r="U33" s="14"/>
      <c r="V33" s="14"/>
      <c r="W33" s="14"/>
      <c r="X33" s="14"/>
      <c r="Y33" s="14"/>
      <c r="Z33" s="14"/>
    </row>
    <row r="34" spans="1:26" ht="15" customHeight="1" x14ac:dyDescent="0.35">
      <c r="A34" s="14"/>
      <c r="B34" s="39"/>
      <c r="C34" s="39"/>
      <c r="D34" s="44"/>
      <c r="E34" s="39"/>
      <c r="F34" s="39"/>
      <c r="G34" s="42"/>
      <c r="H34" s="39"/>
      <c r="I34" s="39"/>
      <c r="J34" s="44"/>
      <c r="K34" s="39"/>
      <c r="L34" s="39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x14ac:dyDescent="0.35">
      <c r="A35" s="14"/>
      <c r="B35" s="39"/>
      <c r="C35" s="39"/>
      <c r="D35" s="44"/>
      <c r="E35" s="39"/>
      <c r="F35" s="39"/>
      <c r="G35" s="42"/>
      <c r="H35" s="39"/>
      <c r="I35" s="39"/>
      <c r="J35" s="44"/>
      <c r="K35" s="39"/>
      <c r="L35" s="39"/>
      <c r="M35" s="14"/>
      <c r="N35" s="14"/>
      <c r="O35" s="38" t="s">
        <v>98</v>
      </c>
      <c r="P35" s="47">
        <f>SUMIF(F6:F35, "Crédito", D6:D35) + SUMIF(L6:L35, "Crédito", J6:J35) + SUMIF(R16:R33, "Crédito", P16:P33)</f>
        <v>555.93000000000006</v>
      </c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x14ac:dyDescent="0.3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x14ac:dyDescent="0.35">
      <c r="D37"/>
    </row>
    <row r="38" spans="1:26" x14ac:dyDescent="0.35">
      <c r="D38"/>
    </row>
    <row r="39" spans="1:26" x14ac:dyDescent="0.35">
      <c r="D39"/>
    </row>
    <row r="40" spans="1:26" x14ac:dyDescent="0.35">
      <c r="D40"/>
    </row>
    <row r="41" spans="1:26" x14ac:dyDescent="0.35">
      <c r="D41"/>
    </row>
    <row r="42" spans="1:26" x14ac:dyDescent="0.35">
      <c r="D42"/>
    </row>
    <row r="43" spans="1:26" x14ac:dyDescent="0.35">
      <c r="D43"/>
    </row>
    <row r="44" spans="1:26" x14ac:dyDescent="0.35">
      <c r="D44"/>
    </row>
  </sheetData>
  <mergeCells count="6">
    <mergeCell ref="N20:R20"/>
    <mergeCell ref="B2:L2"/>
    <mergeCell ref="B3:L3"/>
    <mergeCell ref="B4:F4"/>
    <mergeCell ref="H4:L4"/>
    <mergeCell ref="N14:R14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289878B-76FD-4D20-8849-7D1DA2203955}">
          <x14:formula1>
            <xm:f>'Planilha apoio'!$A$2:$A$13</xm:f>
          </x14:formula1>
          <xm:sqref>E44:F1048576</xm:sqref>
        </x14:dataValidation>
        <x14:dataValidation type="list" allowBlank="1" showInputMessage="1" showErrorMessage="1" xr:uid="{C7CFBA94-0445-4F49-8ADB-186EEA0C7E37}">
          <x14:formula1>
            <xm:f>'Planilha apoio'!#REF!</xm:f>
          </x14:formula1>
          <xm:sqref>G44:G1048576 M16</xm:sqref>
        </x14:dataValidation>
        <x14:dataValidation type="list" allowBlank="1" showInputMessage="1" showErrorMessage="1" xr:uid="{B48AE6C8-15E5-4BB9-869A-1649301CF2B4}">
          <x14:formula1>
            <xm:f>'Planilha apoio'!$B$3:$B$8</xm:f>
          </x14:formula1>
          <xm:sqref>L6:L35 F6:F35</xm:sqref>
        </x14:dataValidation>
        <x14:dataValidation type="list" allowBlank="1" showInputMessage="1" showErrorMessage="1" xr:uid="{FF8034B9-54F4-4BA1-B877-9CB91B82FF25}">
          <x14:formula1>
            <xm:f>'Planilha apoio'!$B$2:$B$8</xm:f>
          </x14:formula1>
          <xm:sqref>R16:R19</xm:sqref>
        </x14:dataValidation>
        <x14:dataValidation type="list" allowBlank="1" showInputMessage="1" showErrorMessage="1" xr:uid="{E679668B-658A-4B12-90C8-F7A3437A14EB}">
          <x14:formula1>
            <xm:f>'Planilha apoio'!$A$2:$A$42</xm:f>
          </x14:formula1>
          <xm:sqref>Q16:Q19 R34:R35 E6:E35 K6:K35 Q34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EFE0D-E034-4FC0-8215-EB7E2608E029}">
  <dimension ref="A1:Z44"/>
  <sheetViews>
    <sheetView zoomScaleNormal="100" workbookViewId="0">
      <selection activeCell="O28" sqref="O28"/>
    </sheetView>
  </sheetViews>
  <sheetFormatPr defaultRowHeight="14.5" x14ac:dyDescent="0.35"/>
  <cols>
    <col min="1" max="1" width="1.36328125" customWidth="1"/>
    <col min="2" max="2" width="7.1796875" bestFit="1" customWidth="1"/>
    <col min="3" max="3" width="19.54296875" bestFit="1" customWidth="1"/>
    <col min="4" max="4" width="10.54296875" style="1" bestFit="1" customWidth="1"/>
    <col min="5" max="5" width="11.26953125" bestFit="1" customWidth="1"/>
    <col min="6" max="6" width="11.26953125" customWidth="1"/>
    <col min="7" max="7" width="2.54296875" customWidth="1"/>
    <col min="8" max="8" width="7.1796875" bestFit="1" customWidth="1"/>
    <col min="9" max="9" width="19.54296875" bestFit="1" customWidth="1"/>
    <col min="10" max="10" width="10.54296875" bestFit="1" customWidth="1"/>
    <col min="11" max="11" width="11.26953125" bestFit="1" customWidth="1"/>
    <col min="12" max="12" width="11.26953125" customWidth="1"/>
    <col min="13" max="13" width="2.7265625" customWidth="1"/>
    <col min="14" max="14" width="9.54296875" bestFit="1" customWidth="1"/>
    <col min="15" max="15" width="18.36328125" customWidth="1"/>
    <col min="16" max="16" width="11.6328125" customWidth="1"/>
    <col min="17" max="17" width="11.6328125" bestFit="1" customWidth="1"/>
    <col min="18" max="18" width="11.6328125" customWidth="1"/>
    <col min="19" max="19" width="12.1796875" bestFit="1" customWidth="1"/>
    <col min="21" max="21" width="3.7265625" customWidth="1"/>
  </cols>
  <sheetData>
    <row r="1" spans="1:26" ht="7" customHeight="1" thickBot="1" x14ac:dyDescent="0.4">
      <c r="A1" s="14"/>
      <c r="B1" s="14"/>
      <c r="C1" s="14"/>
      <c r="D1" s="15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x14ac:dyDescent="0.35">
      <c r="A2" s="14"/>
      <c r="B2" s="79">
        <v>46054</v>
      </c>
      <c r="C2" s="80"/>
      <c r="D2" s="80"/>
      <c r="E2" s="80"/>
      <c r="F2" s="80"/>
      <c r="G2" s="80"/>
      <c r="H2" s="80"/>
      <c r="I2" s="80"/>
      <c r="J2" s="80"/>
      <c r="K2" s="80"/>
      <c r="L2" s="81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5" thickBot="1" x14ac:dyDescent="0.4">
      <c r="A3" s="14"/>
      <c r="B3" s="82" t="s">
        <v>81</v>
      </c>
      <c r="C3" s="83"/>
      <c r="D3" s="83"/>
      <c r="E3" s="83"/>
      <c r="F3" s="83"/>
      <c r="G3" s="84"/>
      <c r="H3" s="83"/>
      <c r="I3" s="83"/>
      <c r="J3" s="83"/>
      <c r="K3" s="83"/>
      <c r="L3" s="85"/>
      <c r="M3" s="35"/>
      <c r="N3" s="41" t="s">
        <v>82</v>
      </c>
      <c r="O3" s="8" t="s">
        <v>83</v>
      </c>
      <c r="P3" s="8" t="s">
        <v>84</v>
      </c>
      <c r="Q3" s="8" t="s">
        <v>85</v>
      </c>
      <c r="R3" s="14"/>
      <c r="S3" s="14"/>
      <c r="T3" s="14"/>
      <c r="U3" s="14"/>
      <c r="V3" s="14"/>
      <c r="W3" s="14"/>
      <c r="X3" s="14"/>
      <c r="Y3" s="14"/>
      <c r="Z3" s="14"/>
    </row>
    <row r="4" spans="1:26" ht="15" thickBot="1" x14ac:dyDescent="0.4">
      <c r="A4" s="14"/>
      <c r="B4" s="86" t="s">
        <v>86</v>
      </c>
      <c r="C4" s="87"/>
      <c r="D4" s="87"/>
      <c r="E4" s="87"/>
      <c r="F4" s="88"/>
      <c r="G4" s="14"/>
      <c r="H4" s="89" t="s">
        <v>87</v>
      </c>
      <c r="I4" s="90"/>
      <c r="J4" s="90"/>
      <c r="K4" s="90"/>
      <c r="L4" s="91"/>
      <c r="M4" s="35"/>
      <c r="N4" s="41" t="s">
        <v>88</v>
      </c>
      <c r="O4" s="40">
        <v>3000</v>
      </c>
      <c r="Q4" s="6">
        <f>SUM(O4+P4)</f>
        <v>3000</v>
      </c>
      <c r="R4" s="14"/>
      <c r="S4" s="14"/>
      <c r="T4" s="14"/>
      <c r="U4" s="14"/>
      <c r="V4" s="14"/>
      <c r="W4" s="14"/>
      <c r="X4" s="14"/>
      <c r="Y4" s="14"/>
      <c r="Z4" s="14"/>
    </row>
    <row r="5" spans="1:26" ht="15" customHeight="1" x14ac:dyDescent="0.35">
      <c r="A5" s="35"/>
      <c r="B5" s="52" t="s">
        <v>4</v>
      </c>
      <c r="C5" s="52" t="s">
        <v>5</v>
      </c>
      <c r="D5" s="53" t="s">
        <v>6</v>
      </c>
      <c r="E5" s="52" t="s">
        <v>7</v>
      </c>
      <c r="F5" s="52" t="s">
        <v>106</v>
      </c>
      <c r="G5" s="14"/>
      <c r="H5" s="52" t="s">
        <v>4</v>
      </c>
      <c r="I5" s="52" t="s">
        <v>5</v>
      </c>
      <c r="J5" s="53" t="s">
        <v>6</v>
      </c>
      <c r="K5" s="52" t="s">
        <v>7</v>
      </c>
      <c r="L5" s="52" t="s">
        <v>106</v>
      </c>
      <c r="M5" s="14"/>
      <c r="N5" s="41" t="s">
        <v>89</v>
      </c>
      <c r="O5" s="40">
        <v>2000</v>
      </c>
      <c r="P5" s="6"/>
      <c r="Q5" s="6">
        <f>SUM(O5+P5)</f>
        <v>2000</v>
      </c>
      <c r="R5" s="14"/>
      <c r="S5" s="14"/>
      <c r="T5" s="14"/>
      <c r="U5" s="14"/>
      <c r="V5" s="14"/>
      <c r="W5" s="14"/>
      <c r="X5" s="14"/>
      <c r="Y5" s="14"/>
      <c r="Z5" s="14"/>
    </row>
    <row r="6" spans="1:26" ht="15" customHeight="1" x14ac:dyDescent="0.35">
      <c r="A6" s="35"/>
      <c r="B6" s="37"/>
      <c r="C6" s="39"/>
      <c r="D6" s="44"/>
      <c r="E6" s="39"/>
      <c r="F6" s="39"/>
      <c r="G6" s="42"/>
      <c r="H6" s="37"/>
      <c r="I6" s="39"/>
      <c r="J6" s="44"/>
      <c r="K6" s="39"/>
      <c r="L6" s="39"/>
      <c r="M6" s="35"/>
      <c r="N6" s="41" t="s">
        <v>101</v>
      </c>
      <c r="O6" s="40">
        <v>1012</v>
      </c>
      <c r="P6" s="41" t="s">
        <v>85</v>
      </c>
      <c r="Q6" s="6">
        <f>SUM(Q4:Q5)</f>
        <v>5000</v>
      </c>
      <c r="R6" s="14"/>
      <c r="S6" s="14"/>
      <c r="T6" s="14"/>
      <c r="U6" s="14"/>
      <c r="V6" s="14"/>
      <c r="W6" s="14"/>
      <c r="X6" s="14"/>
      <c r="Y6" s="14"/>
      <c r="Z6" s="14"/>
    </row>
    <row r="7" spans="1:26" ht="15" customHeight="1" x14ac:dyDescent="0.35">
      <c r="A7" s="35"/>
      <c r="B7" s="37"/>
      <c r="C7" s="39"/>
      <c r="D7" s="44"/>
      <c r="E7" s="39"/>
      <c r="F7" s="39"/>
      <c r="G7" s="42"/>
      <c r="H7" s="37"/>
      <c r="I7" s="39"/>
      <c r="J7" s="44"/>
      <c r="K7" s="39"/>
      <c r="L7" s="39"/>
      <c r="M7" s="35"/>
      <c r="N7" s="14"/>
      <c r="O7" s="14"/>
      <c r="P7" s="41" t="s">
        <v>90</v>
      </c>
      <c r="Q7" s="6">
        <f>SUM(Q6+O6)</f>
        <v>6012</v>
      </c>
      <c r="R7" s="14"/>
      <c r="S7" s="14"/>
      <c r="T7" s="14"/>
      <c r="U7" s="14"/>
      <c r="V7" s="14"/>
      <c r="W7" s="14"/>
      <c r="X7" s="14"/>
      <c r="Y7" s="14"/>
      <c r="Z7" s="14"/>
    </row>
    <row r="8" spans="1:26" ht="15" customHeight="1" x14ac:dyDescent="0.35">
      <c r="A8" s="35"/>
      <c r="B8" s="37"/>
      <c r="C8" s="39"/>
      <c r="D8" s="44"/>
      <c r="E8" s="39"/>
      <c r="F8" s="39"/>
      <c r="G8" s="42"/>
      <c r="H8" s="37"/>
      <c r="I8" s="39"/>
      <c r="J8" s="44"/>
      <c r="K8" s="39"/>
      <c r="L8" s="39"/>
      <c r="M8" s="35"/>
      <c r="N8" s="42"/>
      <c r="O8" s="15"/>
      <c r="P8" s="15"/>
      <c r="Q8" s="15"/>
      <c r="R8" s="15"/>
      <c r="S8" s="14"/>
      <c r="T8" s="14"/>
      <c r="U8" s="14"/>
      <c r="V8" s="14"/>
      <c r="W8" s="14"/>
      <c r="X8" s="14"/>
      <c r="Y8" s="14"/>
      <c r="Z8" s="14"/>
    </row>
    <row r="9" spans="1:26" ht="15" customHeight="1" thickBot="1" x14ac:dyDescent="0.4">
      <c r="A9" s="35"/>
      <c r="B9" s="39"/>
      <c r="C9" s="39"/>
      <c r="D9" s="44"/>
      <c r="E9" s="39"/>
      <c r="F9" s="39"/>
      <c r="G9" s="42"/>
      <c r="H9" s="39"/>
      <c r="I9" s="56"/>
      <c r="J9" s="44"/>
      <c r="K9" s="39"/>
      <c r="L9" s="39"/>
      <c r="M9" s="35"/>
      <c r="N9" s="43" t="s">
        <v>91</v>
      </c>
      <c r="O9" s="24">
        <v>1000</v>
      </c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15" customHeight="1" thickBot="1" x14ac:dyDescent="0.4">
      <c r="A10" s="35"/>
      <c r="B10" s="39"/>
      <c r="C10" s="39"/>
      <c r="D10" s="44"/>
      <c r="E10" s="39"/>
      <c r="F10" s="39"/>
      <c r="G10" s="42"/>
      <c r="H10" s="54"/>
      <c r="I10" s="58"/>
      <c r="J10" s="55"/>
      <c r="K10" s="39"/>
      <c r="L10" s="39"/>
      <c r="M10" s="35"/>
      <c r="N10" s="43" t="s">
        <v>92</v>
      </c>
      <c r="O10" s="6">
        <f>SUM(P16:P19) + SUM(P21:P33)</f>
        <v>2325.0100000000002</v>
      </c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15" customHeight="1" x14ac:dyDescent="0.35">
      <c r="A11" s="35"/>
      <c r="B11" s="39"/>
      <c r="C11" s="39"/>
      <c r="D11" s="44"/>
      <c r="E11" s="39"/>
      <c r="F11" s="39"/>
      <c r="G11" s="42"/>
      <c r="H11" s="39"/>
      <c r="I11" s="57"/>
      <c r="J11" s="44"/>
      <c r="K11" s="39"/>
      <c r="L11" s="39"/>
      <c r="M11" s="35"/>
      <c r="N11" s="43" t="s">
        <v>93</v>
      </c>
      <c r="O11" s="6" cm="1">
        <f t="array" ref="O11">SUM(D6:D35+J6:J35)</f>
        <v>0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15" customHeight="1" x14ac:dyDescent="0.35">
      <c r="A12" s="35"/>
      <c r="B12" s="39"/>
      <c r="C12" s="39"/>
      <c r="D12" s="44"/>
      <c r="E12" s="39"/>
      <c r="F12" s="39"/>
      <c r="G12" s="42"/>
      <c r="H12" s="39"/>
      <c r="I12" s="39"/>
      <c r="J12" s="44"/>
      <c r="K12" s="39"/>
      <c r="L12" s="39"/>
      <c r="M12" s="35"/>
      <c r="N12" s="43" t="s">
        <v>24</v>
      </c>
      <c r="O12" s="6">
        <f>SUM(O9:O11)</f>
        <v>3325.01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15" customHeight="1" thickBot="1" x14ac:dyDescent="0.4">
      <c r="A13" s="35"/>
      <c r="B13" s="39"/>
      <c r="C13" s="39"/>
      <c r="D13" s="44"/>
      <c r="E13" s="39"/>
      <c r="F13" s="39"/>
      <c r="G13" s="42"/>
      <c r="H13" s="39"/>
      <c r="I13" s="39"/>
      <c r="J13" s="44"/>
      <c r="K13" s="39"/>
      <c r="L13" s="39"/>
      <c r="M13" s="35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15" customHeight="1" thickBot="1" x14ac:dyDescent="0.4">
      <c r="A14" s="35"/>
      <c r="B14" s="37"/>
      <c r="C14" s="39"/>
      <c r="D14" s="44"/>
      <c r="E14" s="39"/>
      <c r="F14" s="39"/>
      <c r="G14" s="42"/>
      <c r="H14" s="37"/>
      <c r="I14" s="39"/>
      <c r="J14" s="44"/>
      <c r="K14" s="39"/>
      <c r="L14" s="39"/>
      <c r="M14" s="35"/>
      <c r="N14" s="76" t="s">
        <v>94</v>
      </c>
      <c r="O14" s="77"/>
      <c r="P14" s="77"/>
      <c r="Q14" s="77"/>
      <c r="R14" s="78"/>
      <c r="S14" s="14"/>
      <c r="T14" s="14"/>
      <c r="U14" s="14"/>
      <c r="V14" s="14"/>
      <c r="W14" s="14"/>
      <c r="X14" s="14"/>
      <c r="Y14" s="14"/>
      <c r="Z14" s="14"/>
    </row>
    <row r="15" spans="1:26" ht="15" customHeight="1" x14ac:dyDescent="0.35">
      <c r="A15" s="35"/>
      <c r="B15" s="37"/>
      <c r="C15" s="39"/>
      <c r="D15" s="44"/>
      <c r="E15" s="39"/>
      <c r="F15" s="39"/>
      <c r="G15" s="42"/>
      <c r="H15" s="37"/>
      <c r="I15" s="39"/>
      <c r="J15" s="44"/>
      <c r="K15" s="39"/>
      <c r="L15" s="39"/>
      <c r="M15" s="35"/>
      <c r="N15" s="59" t="s">
        <v>4</v>
      </c>
      <c r="O15" s="60" t="s">
        <v>5</v>
      </c>
      <c r="P15" s="61" t="s">
        <v>6</v>
      </c>
      <c r="Q15" s="59" t="s">
        <v>7</v>
      </c>
      <c r="R15" s="59" t="s">
        <v>106</v>
      </c>
      <c r="S15" s="14"/>
      <c r="T15" s="14"/>
      <c r="U15" s="14"/>
      <c r="V15" s="14"/>
      <c r="W15" s="14"/>
      <c r="X15" s="14"/>
      <c r="Y15" s="14"/>
      <c r="Z15" s="14"/>
    </row>
    <row r="16" spans="1:26" ht="15" customHeight="1" x14ac:dyDescent="0.35">
      <c r="A16" s="14"/>
      <c r="B16" s="39"/>
      <c r="C16" s="39"/>
      <c r="D16" s="44"/>
      <c r="E16" s="39"/>
      <c r="F16" s="39"/>
      <c r="G16" s="42"/>
      <c r="H16" s="39"/>
      <c r="I16" s="39"/>
      <c r="J16" s="44"/>
      <c r="K16" s="39"/>
      <c r="L16" s="39"/>
      <c r="M16" s="14"/>
      <c r="N16" s="37">
        <v>45693</v>
      </c>
      <c r="O16" s="45" t="s">
        <v>22</v>
      </c>
      <c r="P16" s="50">
        <v>850</v>
      </c>
      <c r="Q16" s="37" t="s">
        <v>22</v>
      </c>
      <c r="R16" s="37" t="s">
        <v>72</v>
      </c>
      <c r="S16" s="14"/>
      <c r="T16" s="14"/>
      <c r="U16" s="14"/>
      <c r="V16" s="14"/>
      <c r="W16" s="14"/>
      <c r="X16" s="14"/>
      <c r="Y16" s="14"/>
      <c r="Z16" s="14"/>
    </row>
    <row r="17" spans="1:26" ht="15" customHeight="1" x14ac:dyDescent="0.35">
      <c r="A17" s="14"/>
      <c r="B17" s="39"/>
      <c r="C17" s="39"/>
      <c r="D17" s="44"/>
      <c r="E17" s="39"/>
      <c r="F17" s="39"/>
      <c r="G17" s="42"/>
      <c r="H17" s="39"/>
      <c r="I17" s="39"/>
      <c r="J17" s="44"/>
      <c r="K17" s="39"/>
      <c r="L17" s="39"/>
      <c r="M17" s="35"/>
      <c r="N17" s="37">
        <v>45693</v>
      </c>
      <c r="O17" s="45" t="s">
        <v>25</v>
      </c>
      <c r="P17" s="50">
        <v>220</v>
      </c>
      <c r="Q17" s="37" t="s">
        <v>25</v>
      </c>
      <c r="R17" s="37" t="s">
        <v>72</v>
      </c>
      <c r="S17" s="14"/>
      <c r="T17" s="14"/>
      <c r="U17" s="14"/>
      <c r="V17" s="14"/>
      <c r="W17" s="14"/>
      <c r="X17" s="14"/>
      <c r="Y17" s="14"/>
      <c r="Z17" s="14"/>
    </row>
    <row r="18" spans="1:26" ht="15" customHeight="1" x14ac:dyDescent="0.35">
      <c r="A18" s="36"/>
      <c r="B18" s="39"/>
      <c r="C18" s="39"/>
      <c r="D18" s="44"/>
      <c r="E18" s="39"/>
      <c r="F18" s="39"/>
      <c r="G18" s="42"/>
      <c r="H18" s="39"/>
      <c r="I18" s="39"/>
      <c r="J18" s="44"/>
      <c r="K18" s="39"/>
      <c r="L18" s="39"/>
      <c r="M18" s="35"/>
      <c r="N18" s="37">
        <v>45693</v>
      </c>
      <c r="O18" s="46" t="s">
        <v>96</v>
      </c>
      <c r="P18" s="50">
        <f>SUM('jan-26'!P35)</f>
        <v>555.93000000000006</v>
      </c>
      <c r="Q18" s="48" t="s">
        <v>60</v>
      </c>
      <c r="R18" s="48" t="s">
        <v>72</v>
      </c>
      <c r="S18" s="14"/>
      <c r="T18" s="14"/>
      <c r="U18" s="14"/>
      <c r="V18" s="14"/>
      <c r="W18" s="14"/>
      <c r="X18" s="14"/>
      <c r="Y18" s="14"/>
      <c r="Z18" s="14"/>
    </row>
    <row r="19" spans="1:26" ht="15" customHeight="1" thickBot="1" x14ac:dyDescent="0.4">
      <c r="A19" s="36"/>
      <c r="B19" s="39"/>
      <c r="C19" s="39"/>
      <c r="D19" s="44"/>
      <c r="E19" s="39"/>
      <c r="F19" s="39"/>
      <c r="G19" s="42"/>
      <c r="H19" s="39"/>
      <c r="I19" s="39"/>
      <c r="J19" s="44"/>
      <c r="K19" s="39"/>
      <c r="L19" s="39"/>
      <c r="M19" s="14"/>
      <c r="N19" s="37">
        <v>45693</v>
      </c>
      <c r="O19" s="62" t="s">
        <v>100</v>
      </c>
      <c r="P19" s="63">
        <v>143.15</v>
      </c>
      <c r="Q19" s="64" t="s">
        <v>59</v>
      </c>
      <c r="R19" s="64" t="s">
        <v>108</v>
      </c>
      <c r="S19" s="14"/>
      <c r="T19" s="14"/>
      <c r="U19" s="14"/>
      <c r="V19" s="14"/>
      <c r="W19" s="14"/>
      <c r="X19" s="14"/>
      <c r="Y19" s="14"/>
      <c r="Z19" s="14"/>
    </row>
    <row r="20" spans="1:26" ht="15" customHeight="1" thickBot="1" x14ac:dyDescent="0.4">
      <c r="A20" s="14"/>
      <c r="B20" s="39"/>
      <c r="C20" s="39"/>
      <c r="D20" s="44"/>
      <c r="E20" s="39"/>
      <c r="F20" s="39"/>
      <c r="G20" s="42"/>
      <c r="H20" s="39"/>
      <c r="I20" s="39"/>
      <c r="J20" s="44"/>
      <c r="K20" s="39"/>
      <c r="L20" s="39"/>
      <c r="M20" s="14"/>
      <c r="N20" s="76" t="s">
        <v>105</v>
      </c>
      <c r="O20" s="77"/>
      <c r="P20" s="77"/>
      <c r="Q20" s="77"/>
      <c r="R20" s="78"/>
      <c r="S20" s="14"/>
      <c r="T20" s="14"/>
      <c r="U20" s="14"/>
      <c r="V20" s="14"/>
      <c r="W20" s="14"/>
      <c r="X20" s="14"/>
      <c r="Y20" s="14"/>
      <c r="Z20" s="14"/>
    </row>
    <row r="21" spans="1:26" ht="15" customHeight="1" x14ac:dyDescent="0.35">
      <c r="A21" s="14"/>
      <c r="B21" s="39"/>
      <c r="C21" s="39"/>
      <c r="D21" s="44"/>
      <c r="E21" s="39"/>
      <c r="F21" s="39"/>
      <c r="G21" s="42"/>
      <c r="H21" s="39"/>
      <c r="I21" s="39"/>
      <c r="J21" s="44"/>
      <c r="K21" s="39"/>
      <c r="L21" s="39"/>
      <c r="M21" s="14"/>
      <c r="N21" s="65">
        <v>45721</v>
      </c>
      <c r="O21" s="66" t="s">
        <v>18</v>
      </c>
      <c r="P21" s="67">
        <v>40.9</v>
      </c>
      <c r="Q21" s="65" t="s">
        <v>19</v>
      </c>
      <c r="R21" s="37" t="s">
        <v>51</v>
      </c>
      <c r="S21" s="14"/>
      <c r="T21" s="14"/>
      <c r="U21" s="14"/>
      <c r="V21" s="14"/>
      <c r="W21" s="14"/>
      <c r="X21" s="14"/>
      <c r="Y21" s="14"/>
      <c r="Z21" s="14"/>
    </row>
    <row r="22" spans="1:26" ht="15" customHeight="1" x14ac:dyDescent="0.35">
      <c r="A22" s="14"/>
      <c r="B22" s="39"/>
      <c r="C22" s="39"/>
      <c r="D22" s="44"/>
      <c r="E22" s="39"/>
      <c r="F22" s="39"/>
      <c r="G22" s="42"/>
      <c r="H22" s="39"/>
      <c r="I22" s="39"/>
      <c r="J22" s="44"/>
      <c r="K22" s="39"/>
      <c r="L22" s="39"/>
      <c r="M22" s="14"/>
      <c r="N22" s="65">
        <v>45721</v>
      </c>
      <c r="O22" s="46" t="s">
        <v>97</v>
      </c>
      <c r="P22" s="49">
        <v>66.900000000000006</v>
      </c>
      <c r="Q22" s="65" t="s">
        <v>19</v>
      </c>
      <c r="R22" s="37" t="s">
        <v>51</v>
      </c>
      <c r="S22" s="14"/>
      <c r="T22" s="14"/>
      <c r="U22" s="14"/>
      <c r="V22" s="14"/>
      <c r="W22" s="14"/>
      <c r="X22" s="14"/>
      <c r="Y22" s="14"/>
      <c r="Z22" s="14"/>
    </row>
    <row r="23" spans="1:26" ht="15" customHeight="1" x14ac:dyDescent="0.35">
      <c r="A23" s="14"/>
      <c r="B23" s="39"/>
      <c r="C23" s="39"/>
      <c r="D23" s="44"/>
      <c r="E23" s="39"/>
      <c r="F23" s="39"/>
      <c r="G23" s="42"/>
      <c r="H23" s="39"/>
      <c r="I23" s="39"/>
      <c r="J23" s="44"/>
      <c r="K23" s="39"/>
      <c r="L23" s="39"/>
      <c r="M23" s="14"/>
      <c r="N23" s="65">
        <v>45721</v>
      </c>
      <c r="O23" s="46" t="s">
        <v>102</v>
      </c>
      <c r="P23" s="49">
        <v>59.99</v>
      </c>
      <c r="Q23" s="46" t="s">
        <v>19</v>
      </c>
      <c r="R23" s="37" t="s">
        <v>51</v>
      </c>
      <c r="S23" s="14"/>
      <c r="T23" s="14"/>
      <c r="U23" s="14"/>
      <c r="V23" s="14"/>
      <c r="W23" s="14"/>
      <c r="X23" s="14"/>
      <c r="Y23" s="14"/>
      <c r="Z23" s="14"/>
    </row>
    <row r="24" spans="1:26" ht="15" customHeight="1" x14ac:dyDescent="0.35">
      <c r="A24" s="14"/>
      <c r="B24" s="39"/>
      <c r="C24" s="39"/>
      <c r="D24" s="44"/>
      <c r="E24" s="39"/>
      <c r="F24" s="39"/>
      <c r="G24" s="42"/>
      <c r="H24" s="39"/>
      <c r="I24" s="39"/>
      <c r="J24" s="44"/>
      <c r="K24" s="39"/>
      <c r="L24" s="39"/>
      <c r="M24" s="14"/>
      <c r="N24" s="65">
        <v>45721</v>
      </c>
      <c r="O24" s="45" t="s">
        <v>103</v>
      </c>
      <c r="P24" s="50">
        <v>119.9</v>
      </c>
      <c r="Q24" s="37" t="s">
        <v>11</v>
      </c>
      <c r="R24" s="37" t="s">
        <v>51</v>
      </c>
      <c r="S24" s="14"/>
      <c r="T24" s="14"/>
      <c r="U24" s="14"/>
      <c r="V24" s="14"/>
      <c r="W24" s="14"/>
      <c r="X24" s="14"/>
      <c r="Y24" s="14"/>
      <c r="Z24" s="14"/>
    </row>
    <row r="25" spans="1:26" ht="15" customHeight="1" x14ac:dyDescent="0.35">
      <c r="A25" s="14"/>
      <c r="B25" s="39"/>
      <c r="C25" s="39"/>
      <c r="D25" s="44"/>
      <c r="E25" s="39"/>
      <c r="F25" s="39"/>
      <c r="G25" s="42"/>
      <c r="H25" s="39"/>
      <c r="I25" s="39"/>
      <c r="J25" s="44"/>
      <c r="K25" s="39"/>
      <c r="L25" s="39"/>
      <c r="M25" s="14"/>
      <c r="N25" s="65">
        <v>45721</v>
      </c>
      <c r="O25" s="45" t="s">
        <v>95</v>
      </c>
      <c r="P25" s="50">
        <v>50.08</v>
      </c>
      <c r="Q25" s="37" t="s">
        <v>11</v>
      </c>
      <c r="R25" s="37" t="s">
        <v>51</v>
      </c>
      <c r="S25" s="14"/>
      <c r="T25" s="14"/>
      <c r="U25" s="14"/>
      <c r="V25" s="14"/>
      <c r="W25" s="14"/>
      <c r="X25" s="14"/>
      <c r="Y25" s="14"/>
      <c r="Z25" s="14"/>
    </row>
    <row r="26" spans="1:26" ht="15" customHeight="1" x14ac:dyDescent="0.35">
      <c r="A26" s="14"/>
      <c r="B26" s="39"/>
      <c r="C26" s="39"/>
      <c r="D26" s="44"/>
      <c r="E26" s="39"/>
      <c r="F26" s="39"/>
      <c r="G26" s="42"/>
      <c r="H26" s="39"/>
      <c r="I26" s="39"/>
      <c r="J26" s="44"/>
      <c r="K26" s="39"/>
      <c r="L26" s="39"/>
      <c r="M26" s="14"/>
      <c r="N26" s="65">
        <v>45721</v>
      </c>
      <c r="O26" s="46" t="s">
        <v>104</v>
      </c>
      <c r="P26" s="49">
        <v>38.36</v>
      </c>
      <c r="Q26" s="37" t="s">
        <v>11</v>
      </c>
      <c r="R26" s="37" t="s">
        <v>51</v>
      </c>
      <c r="S26" s="14"/>
      <c r="T26" s="14"/>
      <c r="U26" s="14"/>
      <c r="V26" s="14"/>
      <c r="W26" s="14"/>
      <c r="X26" s="14"/>
      <c r="Y26" s="14"/>
      <c r="Z26" s="14"/>
    </row>
    <row r="27" spans="1:26" ht="15" customHeight="1" x14ac:dyDescent="0.35">
      <c r="A27" s="14"/>
      <c r="B27" s="39"/>
      <c r="C27" s="39"/>
      <c r="D27" s="44"/>
      <c r="E27" s="39"/>
      <c r="F27" s="39"/>
      <c r="G27" s="42"/>
      <c r="H27" s="39"/>
      <c r="I27" s="39"/>
      <c r="J27" s="44"/>
      <c r="K27" s="39"/>
      <c r="L27" s="39"/>
      <c r="M27" s="14"/>
      <c r="N27" s="65">
        <v>45721</v>
      </c>
      <c r="O27" s="46" t="s">
        <v>111</v>
      </c>
      <c r="P27" s="50">
        <v>89.9</v>
      </c>
      <c r="Q27" s="37" t="s">
        <v>75</v>
      </c>
      <c r="R27" s="37" t="s">
        <v>51</v>
      </c>
      <c r="S27" s="14"/>
      <c r="T27" s="14"/>
      <c r="U27" s="14"/>
      <c r="V27" s="14"/>
      <c r="W27" s="14"/>
      <c r="X27" s="14"/>
      <c r="Y27" s="14"/>
      <c r="Z27" s="14"/>
    </row>
    <row r="28" spans="1:26" ht="15" customHeight="1" x14ac:dyDescent="0.35">
      <c r="A28" s="14"/>
      <c r="B28" s="39"/>
      <c r="C28" s="39"/>
      <c r="D28" s="44"/>
      <c r="E28" s="39"/>
      <c r="F28" s="39"/>
      <c r="G28" s="42"/>
      <c r="H28" s="39"/>
      <c r="I28" s="39"/>
      <c r="J28" s="44"/>
      <c r="K28" s="39"/>
      <c r="L28" s="39"/>
      <c r="M28" s="14"/>
      <c r="N28" s="65">
        <v>45721</v>
      </c>
      <c r="O28" s="46" t="s">
        <v>99</v>
      </c>
      <c r="P28" s="50">
        <v>89.9</v>
      </c>
      <c r="Q28" s="37" t="s">
        <v>75</v>
      </c>
      <c r="R28" s="37" t="s">
        <v>51</v>
      </c>
      <c r="S28" s="14"/>
      <c r="T28" s="14"/>
      <c r="U28" s="14"/>
      <c r="V28" s="14"/>
      <c r="W28" s="14"/>
      <c r="X28" s="14"/>
      <c r="Y28" s="14"/>
      <c r="Z28" s="14"/>
    </row>
    <row r="29" spans="1:26" ht="15" customHeight="1" x14ac:dyDescent="0.35">
      <c r="A29" s="14"/>
      <c r="B29" s="39"/>
      <c r="C29" s="39"/>
      <c r="D29" s="44"/>
      <c r="E29" s="39"/>
      <c r="F29" s="39"/>
      <c r="G29" s="42"/>
      <c r="H29" s="39"/>
      <c r="I29" s="39"/>
      <c r="J29" s="44"/>
      <c r="K29" s="39"/>
      <c r="L29" s="39"/>
      <c r="M29" s="14"/>
      <c r="N29" s="65"/>
      <c r="O29" s="46"/>
      <c r="P29" s="49"/>
      <c r="Q29" s="46"/>
      <c r="R29" s="37"/>
      <c r="S29" s="14"/>
      <c r="T29" s="14"/>
      <c r="U29" s="14"/>
      <c r="V29" s="14"/>
      <c r="W29" s="14"/>
      <c r="X29" s="14"/>
      <c r="Y29" s="14"/>
      <c r="Z29" s="14"/>
    </row>
    <row r="30" spans="1:26" ht="15" customHeight="1" x14ac:dyDescent="0.35">
      <c r="A30" s="14"/>
      <c r="B30" s="39"/>
      <c r="C30" s="39"/>
      <c r="D30" s="44"/>
      <c r="E30" s="39"/>
      <c r="F30" s="39"/>
      <c r="G30" s="42"/>
      <c r="H30" s="39"/>
      <c r="I30" s="39"/>
      <c r="J30" s="44"/>
      <c r="K30" s="39"/>
      <c r="L30" s="39"/>
      <c r="M30" s="14"/>
      <c r="N30" s="65"/>
      <c r="O30" s="46"/>
      <c r="P30" s="49"/>
      <c r="Q30" s="46"/>
      <c r="R30" s="37"/>
      <c r="S30" s="14"/>
      <c r="T30" s="14"/>
      <c r="U30" s="14"/>
      <c r="V30" s="14"/>
      <c r="W30" s="14"/>
      <c r="X30" s="14"/>
      <c r="Y30" s="14"/>
      <c r="Z30" s="14"/>
    </row>
    <row r="31" spans="1:26" ht="15" customHeight="1" x14ac:dyDescent="0.35">
      <c r="A31" s="14"/>
      <c r="B31" s="39"/>
      <c r="C31" s="39"/>
      <c r="D31" s="44"/>
      <c r="E31" s="39"/>
      <c r="F31" s="39"/>
      <c r="G31" s="42"/>
      <c r="H31" s="39"/>
      <c r="I31" s="39"/>
      <c r="J31" s="44"/>
      <c r="K31" s="39"/>
      <c r="L31" s="39"/>
      <c r="M31" s="14"/>
      <c r="N31" s="37"/>
      <c r="O31" s="46"/>
      <c r="P31" s="49"/>
      <c r="Q31" s="46"/>
      <c r="R31" s="37"/>
      <c r="S31" s="14"/>
      <c r="T31" s="14"/>
      <c r="U31" s="14"/>
      <c r="V31" s="14"/>
      <c r="W31" s="14"/>
      <c r="X31" s="14"/>
      <c r="Y31" s="14"/>
      <c r="Z31" s="14"/>
    </row>
    <row r="32" spans="1:26" ht="15" customHeight="1" x14ac:dyDescent="0.35">
      <c r="A32" s="14"/>
      <c r="B32" s="39"/>
      <c r="C32" s="39"/>
      <c r="D32" s="44"/>
      <c r="E32" s="39"/>
      <c r="F32" s="39"/>
      <c r="G32" s="42"/>
      <c r="H32" s="39"/>
      <c r="I32" s="39"/>
      <c r="J32" s="44"/>
      <c r="K32" s="39"/>
      <c r="L32" s="39"/>
      <c r="M32" s="14"/>
      <c r="N32" s="37"/>
      <c r="O32" s="46"/>
      <c r="P32" s="49"/>
      <c r="Q32" s="46"/>
      <c r="R32" s="64"/>
      <c r="S32" s="14"/>
      <c r="T32" s="14"/>
      <c r="U32" s="14"/>
      <c r="V32" s="14"/>
      <c r="W32" s="14"/>
      <c r="X32" s="14"/>
      <c r="Y32" s="14"/>
      <c r="Z32" s="14"/>
    </row>
    <row r="33" spans="1:26" ht="15" customHeight="1" x14ac:dyDescent="0.35">
      <c r="A33" s="14"/>
      <c r="B33" s="39"/>
      <c r="C33" s="39"/>
      <c r="D33" s="44"/>
      <c r="E33" s="39"/>
      <c r="F33" s="39"/>
      <c r="G33" s="42"/>
      <c r="H33" s="39"/>
      <c r="I33" s="39"/>
      <c r="J33" s="44"/>
      <c r="K33" s="39"/>
      <c r="L33" s="39"/>
      <c r="M33" s="14"/>
      <c r="N33" s="37"/>
      <c r="O33" s="46"/>
      <c r="P33" s="49"/>
      <c r="Q33" s="46"/>
      <c r="R33" s="37"/>
      <c r="S33" s="14"/>
      <c r="T33" s="14"/>
      <c r="U33" s="14"/>
      <c r="V33" s="14"/>
      <c r="W33" s="14"/>
      <c r="X33" s="14"/>
      <c r="Y33" s="14"/>
      <c r="Z33" s="14"/>
    </row>
    <row r="34" spans="1:26" ht="15" customHeight="1" x14ac:dyDescent="0.35">
      <c r="A34" s="14"/>
      <c r="B34" s="39"/>
      <c r="C34" s="39"/>
      <c r="D34" s="44"/>
      <c r="E34" s="39"/>
      <c r="F34" s="39"/>
      <c r="G34" s="42"/>
      <c r="H34" s="39"/>
      <c r="I34" s="39"/>
      <c r="J34" s="44"/>
      <c r="K34" s="39"/>
      <c r="L34" s="39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x14ac:dyDescent="0.35">
      <c r="A35" s="14"/>
      <c r="B35" s="39"/>
      <c r="C35" s="39"/>
      <c r="D35" s="44"/>
      <c r="E35" s="39"/>
      <c r="F35" s="39"/>
      <c r="G35" s="42"/>
      <c r="H35" s="39"/>
      <c r="I35" s="39"/>
      <c r="J35" s="44"/>
      <c r="K35" s="39"/>
      <c r="L35" s="39"/>
      <c r="M35" s="14"/>
      <c r="N35" s="14"/>
      <c r="O35" s="38" t="s">
        <v>98</v>
      </c>
      <c r="P35" s="47">
        <f>SUMIF(F6:F35, "Crédito", D6:D35) + SUMIF(L6:L35, "Crédito", J6:J35) + SUMIF(R16:R33, "Crédito", P16:P33)</f>
        <v>555.93000000000006</v>
      </c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x14ac:dyDescent="0.3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x14ac:dyDescent="0.35">
      <c r="D37"/>
    </row>
    <row r="38" spans="1:26" x14ac:dyDescent="0.35">
      <c r="D38"/>
    </row>
    <row r="39" spans="1:26" x14ac:dyDescent="0.35">
      <c r="D39"/>
    </row>
    <row r="40" spans="1:26" x14ac:dyDescent="0.35">
      <c r="D40"/>
    </row>
    <row r="41" spans="1:26" x14ac:dyDescent="0.35">
      <c r="D41"/>
    </row>
    <row r="42" spans="1:26" x14ac:dyDescent="0.35">
      <c r="D42"/>
    </row>
    <row r="43" spans="1:26" x14ac:dyDescent="0.35">
      <c r="D43"/>
    </row>
    <row r="44" spans="1:26" x14ac:dyDescent="0.35">
      <c r="D44"/>
    </row>
  </sheetData>
  <mergeCells count="6">
    <mergeCell ref="N20:R20"/>
    <mergeCell ref="N14:R14"/>
    <mergeCell ref="B2:L2"/>
    <mergeCell ref="B3:L3"/>
    <mergeCell ref="H4:L4"/>
    <mergeCell ref="B4:F4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A136B1F8-4ACF-4FAC-A0C9-D9DAAA5AC787}">
          <x14:formula1>
            <xm:f>'Planilha apoio'!#REF!</xm:f>
          </x14:formula1>
          <xm:sqref>G44:G1048576 M16</xm:sqref>
        </x14:dataValidation>
        <x14:dataValidation type="list" allowBlank="1" showInputMessage="1" showErrorMessage="1" xr:uid="{C789CE08-91A7-48D2-89EA-78B108E5287E}">
          <x14:formula1>
            <xm:f>'Planilha apoio'!$A$2:$A$13</xm:f>
          </x14:formula1>
          <xm:sqref>E44:F1048576</xm:sqref>
        </x14:dataValidation>
        <x14:dataValidation type="list" allowBlank="1" showInputMessage="1" showErrorMessage="1" xr:uid="{2E0DC04C-D299-424F-AC00-541CAAD448F6}">
          <x14:formula1>
            <xm:f>'Planilha apoio'!$B$2:$B$8</xm:f>
          </x14:formula1>
          <xm:sqref>R16:R19</xm:sqref>
        </x14:dataValidation>
        <x14:dataValidation type="list" allowBlank="1" showInputMessage="1" showErrorMessage="1" xr:uid="{32DE54CD-2F89-4C60-B7BF-18B086C4864F}">
          <x14:formula1>
            <xm:f>'Planilha apoio'!$B$3:$B$8</xm:f>
          </x14:formula1>
          <xm:sqref>L6:L35 F6:F35</xm:sqref>
        </x14:dataValidation>
        <x14:dataValidation type="list" allowBlank="1" showInputMessage="1" showErrorMessage="1" xr:uid="{DCDEFAB8-1495-49A1-973B-0C22CAE8FC57}">
          <x14:formula1>
            <xm:f>'Planilha apoio'!$A$2:$A$42</xm:f>
          </x14:formula1>
          <xm:sqref>Q16:Q19 R34:R35 E6:E35 K6:K35 Q34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6F434-6548-41E8-8C71-040AE84EE7E2}">
  <dimension ref="A1:Z44"/>
  <sheetViews>
    <sheetView zoomScaleNormal="100" workbookViewId="0">
      <selection activeCell="O27" sqref="O27"/>
    </sheetView>
  </sheetViews>
  <sheetFormatPr defaultRowHeight="14.5" x14ac:dyDescent="0.35"/>
  <cols>
    <col min="1" max="1" width="1.36328125" customWidth="1"/>
    <col min="2" max="2" width="7.1796875" bestFit="1" customWidth="1"/>
    <col min="3" max="3" width="19.54296875" bestFit="1" customWidth="1"/>
    <col min="4" max="4" width="10.54296875" style="1" bestFit="1" customWidth="1"/>
    <col min="5" max="5" width="11.26953125" bestFit="1" customWidth="1"/>
    <col min="6" max="6" width="11.26953125" customWidth="1"/>
    <col min="7" max="7" width="2.54296875" customWidth="1"/>
    <col min="8" max="8" width="7.1796875" bestFit="1" customWidth="1"/>
    <col min="9" max="9" width="19.54296875" bestFit="1" customWidth="1"/>
    <col min="10" max="10" width="10.54296875" bestFit="1" customWidth="1"/>
    <col min="11" max="11" width="11.26953125" bestFit="1" customWidth="1"/>
    <col min="12" max="12" width="11.26953125" customWidth="1"/>
    <col min="13" max="13" width="2.7265625" customWidth="1"/>
    <col min="14" max="14" width="9.54296875" bestFit="1" customWidth="1"/>
    <col min="15" max="15" width="18.36328125" customWidth="1"/>
    <col min="16" max="16" width="11.6328125" customWidth="1"/>
    <col min="17" max="17" width="11.6328125" bestFit="1" customWidth="1"/>
    <col min="18" max="18" width="11.6328125" customWidth="1"/>
    <col min="19" max="19" width="12.1796875" bestFit="1" customWidth="1"/>
    <col min="21" max="21" width="3.7265625" customWidth="1"/>
  </cols>
  <sheetData>
    <row r="1" spans="1:26" ht="7" customHeight="1" thickBot="1" x14ac:dyDescent="0.4">
      <c r="A1" s="14"/>
      <c r="B1" s="14"/>
      <c r="C1" s="14"/>
      <c r="D1" s="15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x14ac:dyDescent="0.35">
      <c r="A2" s="14"/>
      <c r="B2" s="79">
        <v>46082</v>
      </c>
      <c r="C2" s="80"/>
      <c r="D2" s="80"/>
      <c r="E2" s="80"/>
      <c r="F2" s="80"/>
      <c r="G2" s="80"/>
      <c r="H2" s="80"/>
      <c r="I2" s="80"/>
      <c r="J2" s="80"/>
      <c r="K2" s="80"/>
      <c r="L2" s="81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5" thickBot="1" x14ac:dyDescent="0.4">
      <c r="A3" s="14"/>
      <c r="B3" s="82" t="s">
        <v>81</v>
      </c>
      <c r="C3" s="83"/>
      <c r="D3" s="83"/>
      <c r="E3" s="83"/>
      <c r="F3" s="83"/>
      <c r="G3" s="84"/>
      <c r="H3" s="83"/>
      <c r="I3" s="83"/>
      <c r="J3" s="83"/>
      <c r="K3" s="83"/>
      <c r="L3" s="85"/>
      <c r="M3" s="35"/>
      <c r="N3" s="41" t="s">
        <v>82</v>
      </c>
      <c r="O3" s="8" t="s">
        <v>83</v>
      </c>
      <c r="P3" s="8" t="s">
        <v>84</v>
      </c>
      <c r="Q3" s="8" t="s">
        <v>85</v>
      </c>
      <c r="R3" s="14"/>
      <c r="S3" s="14"/>
      <c r="T3" s="14"/>
      <c r="U3" s="14"/>
      <c r="V3" s="14"/>
      <c r="W3" s="14"/>
      <c r="X3" s="14"/>
      <c r="Y3" s="14"/>
      <c r="Z3" s="14"/>
    </row>
    <row r="4" spans="1:26" ht="15" thickBot="1" x14ac:dyDescent="0.4">
      <c r="A4" s="14"/>
      <c r="B4" s="86" t="s">
        <v>86</v>
      </c>
      <c r="C4" s="87"/>
      <c r="D4" s="87"/>
      <c r="E4" s="87"/>
      <c r="F4" s="88"/>
      <c r="G4" s="14"/>
      <c r="H4" s="89" t="s">
        <v>87</v>
      </c>
      <c r="I4" s="90"/>
      <c r="J4" s="90"/>
      <c r="K4" s="90"/>
      <c r="L4" s="91"/>
      <c r="M4" s="35"/>
      <c r="N4" s="41" t="s">
        <v>88</v>
      </c>
      <c r="O4" s="40">
        <v>3000</v>
      </c>
      <c r="Q4" s="6">
        <f>SUM(O4+P4)</f>
        <v>3000</v>
      </c>
      <c r="R4" s="14"/>
      <c r="S4" s="14"/>
      <c r="T4" s="14"/>
      <c r="U4" s="14"/>
      <c r="V4" s="14"/>
      <c r="W4" s="14"/>
      <c r="X4" s="14"/>
      <c r="Y4" s="14"/>
      <c r="Z4" s="14"/>
    </row>
    <row r="5" spans="1:26" ht="15" customHeight="1" x14ac:dyDescent="0.35">
      <c r="A5" s="35"/>
      <c r="B5" s="52" t="s">
        <v>4</v>
      </c>
      <c r="C5" s="52" t="s">
        <v>5</v>
      </c>
      <c r="D5" s="53" t="s">
        <v>6</v>
      </c>
      <c r="E5" s="52" t="s">
        <v>7</v>
      </c>
      <c r="F5" s="52" t="s">
        <v>106</v>
      </c>
      <c r="G5" s="14"/>
      <c r="H5" s="52" t="s">
        <v>4</v>
      </c>
      <c r="I5" s="52" t="s">
        <v>5</v>
      </c>
      <c r="J5" s="53" t="s">
        <v>6</v>
      </c>
      <c r="K5" s="52" t="s">
        <v>7</v>
      </c>
      <c r="L5" s="52" t="s">
        <v>106</v>
      </c>
      <c r="M5" s="14"/>
      <c r="N5" s="41" t="s">
        <v>89</v>
      </c>
      <c r="O5" s="40">
        <v>2000</v>
      </c>
      <c r="P5" s="6"/>
      <c r="Q5" s="6">
        <f>SUM(O5+P5)</f>
        <v>2000</v>
      </c>
      <c r="R5" s="14"/>
      <c r="S5" s="14"/>
      <c r="T5" s="14"/>
      <c r="U5" s="14"/>
      <c r="V5" s="14"/>
      <c r="W5" s="14"/>
      <c r="X5" s="14"/>
      <c r="Y5" s="14"/>
      <c r="Z5" s="14"/>
    </row>
    <row r="6" spans="1:26" ht="15" customHeight="1" x14ac:dyDescent="0.35">
      <c r="A6" s="35"/>
      <c r="B6" s="37"/>
      <c r="C6" s="39"/>
      <c r="D6" s="44"/>
      <c r="E6" s="39"/>
      <c r="F6" s="39"/>
      <c r="G6" s="42"/>
      <c r="H6" s="37"/>
      <c r="I6" s="39"/>
      <c r="J6" s="44"/>
      <c r="K6" s="39"/>
      <c r="L6" s="39"/>
      <c r="M6" s="35"/>
      <c r="N6" s="41" t="s">
        <v>101</v>
      </c>
      <c r="O6" s="40">
        <v>1012</v>
      </c>
      <c r="P6" s="41" t="s">
        <v>85</v>
      </c>
      <c r="Q6" s="6">
        <f>SUM(Q4:Q5)</f>
        <v>5000</v>
      </c>
      <c r="R6" s="14"/>
      <c r="S6" s="14"/>
      <c r="T6" s="14"/>
      <c r="U6" s="14"/>
      <c r="V6" s="14"/>
      <c r="W6" s="14"/>
      <c r="X6" s="14"/>
      <c r="Y6" s="14"/>
      <c r="Z6" s="14"/>
    </row>
    <row r="7" spans="1:26" ht="15" customHeight="1" x14ac:dyDescent="0.35">
      <c r="A7" s="35"/>
      <c r="B7" s="37"/>
      <c r="C7" s="39"/>
      <c r="D7" s="44"/>
      <c r="E7" s="39"/>
      <c r="F7" s="39"/>
      <c r="G7" s="42"/>
      <c r="H7" s="37"/>
      <c r="I7" s="39"/>
      <c r="J7" s="44"/>
      <c r="K7" s="39"/>
      <c r="L7" s="39"/>
      <c r="M7" s="35"/>
      <c r="N7" s="14"/>
      <c r="O7" s="14"/>
      <c r="P7" s="41" t="s">
        <v>90</v>
      </c>
      <c r="Q7" s="6">
        <f>SUM(Q6+O6)</f>
        <v>6012</v>
      </c>
      <c r="R7" s="14"/>
      <c r="S7" s="14"/>
      <c r="T7" s="14"/>
      <c r="U7" s="14"/>
      <c r="V7" s="14"/>
      <c r="W7" s="14"/>
      <c r="X7" s="14"/>
      <c r="Y7" s="14"/>
      <c r="Z7" s="14"/>
    </row>
    <row r="8" spans="1:26" ht="15" customHeight="1" x14ac:dyDescent="0.35">
      <c r="A8" s="35"/>
      <c r="B8" s="37"/>
      <c r="C8" s="39"/>
      <c r="D8" s="44"/>
      <c r="E8" s="39"/>
      <c r="F8" s="39"/>
      <c r="G8" s="42"/>
      <c r="H8" s="37"/>
      <c r="I8" s="39"/>
      <c r="J8" s="44"/>
      <c r="K8" s="39"/>
      <c r="L8" s="39"/>
      <c r="M8" s="35"/>
      <c r="N8" s="42"/>
      <c r="O8" s="15"/>
      <c r="P8" s="15"/>
      <c r="Q8" s="15"/>
      <c r="R8" s="15"/>
      <c r="S8" s="14"/>
      <c r="T8" s="14"/>
      <c r="U8" s="14"/>
      <c r="V8" s="14"/>
      <c r="W8" s="14"/>
      <c r="X8" s="14"/>
      <c r="Y8" s="14"/>
      <c r="Z8" s="14"/>
    </row>
    <row r="9" spans="1:26" ht="15" customHeight="1" thickBot="1" x14ac:dyDescent="0.4">
      <c r="A9" s="35"/>
      <c r="B9" s="39"/>
      <c r="C9" s="39"/>
      <c r="D9" s="44"/>
      <c r="E9" s="39"/>
      <c r="F9" s="39"/>
      <c r="G9" s="42"/>
      <c r="H9" s="39"/>
      <c r="I9" s="56"/>
      <c r="J9" s="44"/>
      <c r="K9" s="39"/>
      <c r="L9" s="39"/>
      <c r="M9" s="35"/>
      <c r="N9" s="43" t="s">
        <v>91</v>
      </c>
      <c r="O9" s="24">
        <v>1000</v>
      </c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15" customHeight="1" thickBot="1" x14ac:dyDescent="0.4">
      <c r="A10" s="35"/>
      <c r="B10" s="39"/>
      <c r="C10" s="39"/>
      <c r="D10" s="44"/>
      <c r="E10" s="39"/>
      <c r="F10" s="39"/>
      <c r="G10" s="42"/>
      <c r="H10" s="54"/>
      <c r="I10" s="58"/>
      <c r="J10" s="55"/>
      <c r="K10" s="39"/>
      <c r="L10" s="39"/>
      <c r="M10" s="35"/>
      <c r="N10" s="43" t="s">
        <v>92</v>
      </c>
      <c r="O10" s="6">
        <f>SUM(P16:P19) + SUM(P21:P33)</f>
        <v>2325.0100000000002</v>
      </c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15" customHeight="1" x14ac:dyDescent="0.35">
      <c r="A11" s="35"/>
      <c r="B11" s="39"/>
      <c r="C11" s="39"/>
      <c r="D11" s="44"/>
      <c r="E11" s="39"/>
      <c r="F11" s="39"/>
      <c r="G11" s="42"/>
      <c r="H11" s="39"/>
      <c r="I11" s="57"/>
      <c r="J11" s="44"/>
      <c r="K11" s="39"/>
      <c r="L11" s="39"/>
      <c r="M11" s="35"/>
      <c r="N11" s="43" t="s">
        <v>93</v>
      </c>
      <c r="O11" s="6" cm="1">
        <f t="array" ref="O11">SUM(D6:D35+J6:J35)</f>
        <v>0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15" customHeight="1" x14ac:dyDescent="0.35">
      <c r="A12" s="35"/>
      <c r="B12" s="39"/>
      <c r="C12" s="39"/>
      <c r="D12" s="44"/>
      <c r="E12" s="39"/>
      <c r="F12" s="39"/>
      <c r="G12" s="42"/>
      <c r="H12" s="39"/>
      <c r="I12" s="39"/>
      <c r="J12" s="44"/>
      <c r="K12" s="39"/>
      <c r="L12" s="39"/>
      <c r="M12" s="35"/>
      <c r="N12" s="43" t="s">
        <v>24</v>
      </c>
      <c r="O12" s="6">
        <f>SUM(O9:O11)</f>
        <v>3325.01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15" customHeight="1" thickBot="1" x14ac:dyDescent="0.4">
      <c r="A13" s="35"/>
      <c r="B13" s="39"/>
      <c r="C13" s="39"/>
      <c r="D13" s="44"/>
      <c r="E13" s="39"/>
      <c r="F13" s="39"/>
      <c r="G13" s="42"/>
      <c r="H13" s="39"/>
      <c r="I13" s="39"/>
      <c r="J13" s="44"/>
      <c r="K13" s="39"/>
      <c r="L13" s="39"/>
      <c r="M13" s="35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15" customHeight="1" thickBot="1" x14ac:dyDescent="0.4">
      <c r="A14" s="35"/>
      <c r="B14" s="37"/>
      <c r="C14" s="39"/>
      <c r="D14" s="44"/>
      <c r="E14" s="39"/>
      <c r="F14" s="39"/>
      <c r="G14" s="42"/>
      <c r="H14" s="37"/>
      <c r="I14" s="39"/>
      <c r="J14" s="44"/>
      <c r="K14" s="39"/>
      <c r="L14" s="39"/>
      <c r="M14" s="35"/>
      <c r="N14" s="76" t="s">
        <v>94</v>
      </c>
      <c r="O14" s="77"/>
      <c r="P14" s="77"/>
      <c r="Q14" s="77"/>
      <c r="R14" s="78"/>
      <c r="S14" s="14"/>
      <c r="T14" s="14"/>
      <c r="U14" s="14"/>
      <c r="V14" s="14"/>
      <c r="W14" s="14"/>
      <c r="X14" s="14"/>
      <c r="Y14" s="14"/>
      <c r="Z14" s="14"/>
    </row>
    <row r="15" spans="1:26" ht="15" customHeight="1" x14ac:dyDescent="0.35">
      <c r="A15" s="35"/>
      <c r="B15" s="37"/>
      <c r="C15" s="39"/>
      <c r="D15" s="44"/>
      <c r="E15" s="39"/>
      <c r="F15" s="39"/>
      <c r="G15" s="42"/>
      <c r="H15" s="37"/>
      <c r="I15" s="39"/>
      <c r="J15" s="44"/>
      <c r="K15" s="39"/>
      <c r="L15" s="39"/>
      <c r="M15" s="35"/>
      <c r="N15" s="59" t="s">
        <v>4</v>
      </c>
      <c r="O15" s="60" t="s">
        <v>5</v>
      </c>
      <c r="P15" s="61" t="s">
        <v>6</v>
      </c>
      <c r="Q15" s="59" t="s">
        <v>7</v>
      </c>
      <c r="R15" s="59" t="s">
        <v>106</v>
      </c>
      <c r="S15" s="14"/>
      <c r="T15" s="14"/>
      <c r="U15" s="14"/>
      <c r="V15" s="14"/>
      <c r="W15" s="14"/>
      <c r="X15" s="14"/>
      <c r="Y15" s="14"/>
      <c r="Z15" s="14"/>
    </row>
    <row r="16" spans="1:26" ht="15" customHeight="1" x14ac:dyDescent="0.35">
      <c r="A16" s="14"/>
      <c r="B16" s="39"/>
      <c r="C16" s="39"/>
      <c r="D16" s="44"/>
      <c r="E16" s="39"/>
      <c r="F16" s="39"/>
      <c r="G16" s="42"/>
      <c r="H16" s="39"/>
      <c r="I16" s="39"/>
      <c r="J16" s="44"/>
      <c r="K16" s="39"/>
      <c r="L16" s="39"/>
      <c r="M16" s="14"/>
      <c r="N16" s="37">
        <v>45721</v>
      </c>
      <c r="O16" s="45" t="s">
        <v>22</v>
      </c>
      <c r="P16" s="50">
        <v>850</v>
      </c>
      <c r="Q16" s="37" t="s">
        <v>22</v>
      </c>
      <c r="R16" s="37" t="s">
        <v>72</v>
      </c>
      <c r="S16" s="14"/>
      <c r="T16" s="14"/>
      <c r="U16" s="14"/>
      <c r="V16" s="14"/>
      <c r="W16" s="14"/>
      <c r="X16" s="14"/>
      <c r="Y16" s="14"/>
      <c r="Z16" s="14"/>
    </row>
    <row r="17" spans="1:26" ht="15" customHeight="1" x14ac:dyDescent="0.35">
      <c r="A17" s="14"/>
      <c r="B17" s="39"/>
      <c r="C17" s="39"/>
      <c r="D17" s="44"/>
      <c r="E17" s="39"/>
      <c r="F17" s="39"/>
      <c r="G17" s="42"/>
      <c r="H17" s="39"/>
      <c r="I17" s="39"/>
      <c r="J17" s="44"/>
      <c r="K17" s="39"/>
      <c r="L17" s="39"/>
      <c r="M17" s="35"/>
      <c r="N17" s="37">
        <v>45721</v>
      </c>
      <c r="O17" s="45" t="s">
        <v>25</v>
      </c>
      <c r="P17" s="50">
        <v>220</v>
      </c>
      <c r="Q17" s="37" t="s">
        <v>25</v>
      </c>
      <c r="R17" s="37" t="s">
        <v>72</v>
      </c>
      <c r="S17" s="14"/>
      <c r="T17" s="14"/>
      <c r="U17" s="14"/>
      <c r="V17" s="14"/>
      <c r="W17" s="14"/>
      <c r="X17" s="14"/>
      <c r="Y17" s="14"/>
      <c r="Z17" s="14"/>
    </row>
    <row r="18" spans="1:26" ht="15" customHeight="1" x14ac:dyDescent="0.35">
      <c r="A18" s="36"/>
      <c r="B18" s="39"/>
      <c r="C18" s="39"/>
      <c r="D18" s="44"/>
      <c r="E18" s="39"/>
      <c r="F18" s="39"/>
      <c r="G18" s="42"/>
      <c r="H18" s="39"/>
      <c r="I18" s="39"/>
      <c r="J18" s="44"/>
      <c r="K18" s="39"/>
      <c r="L18" s="39"/>
      <c r="M18" s="35"/>
      <c r="N18" s="37">
        <v>45721</v>
      </c>
      <c r="O18" s="46" t="s">
        <v>96</v>
      </c>
      <c r="P18" s="50">
        <f>SUM('jan-26'!P35)</f>
        <v>555.93000000000006</v>
      </c>
      <c r="Q18" s="48" t="s">
        <v>60</v>
      </c>
      <c r="R18" s="48" t="s">
        <v>72</v>
      </c>
      <c r="S18" s="14"/>
      <c r="T18" s="14"/>
      <c r="U18" s="14"/>
      <c r="V18" s="14"/>
      <c r="W18" s="14"/>
      <c r="X18" s="14"/>
      <c r="Y18" s="14"/>
      <c r="Z18" s="14"/>
    </row>
    <row r="19" spans="1:26" ht="15" customHeight="1" thickBot="1" x14ac:dyDescent="0.4">
      <c r="A19" s="36"/>
      <c r="B19" s="39"/>
      <c r="C19" s="39"/>
      <c r="D19" s="44"/>
      <c r="E19" s="39"/>
      <c r="F19" s="39"/>
      <c r="G19" s="42"/>
      <c r="H19" s="39"/>
      <c r="I19" s="39"/>
      <c r="J19" s="44"/>
      <c r="K19" s="39"/>
      <c r="L19" s="39"/>
      <c r="M19" s="14"/>
      <c r="N19" s="37">
        <v>45721</v>
      </c>
      <c r="O19" s="62" t="s">
        <v>100</v>
      </c>
      <c r="P19" s="63">
        <v>143.15</v>
      </c>
      <c r="Q19" s="64" t="s">
        <v>59</v>
      </c>
      <c r="R19" s="64" t="s">
        <v>108</v>
      </c>
      <c r="S19" s="14"/>
      <c r="T19" s="14"/>
      <c r="U19" s="14"/>
      <c r="V19" s="14"/>
      <c r="W19" s="14"/>
      <c r="X19" s="14"/>
      <c r="Y19" s="14"/>
      <c r="Z19" s="14"/>
    </row>
    <row r="20" spans="1:26" ht="15" customHeight="1" thickBot="1" x14ac:dyDescent="0.4">
      <c r="A20" s="14"/>
      <c r="B20" s="39"/>
      <c r="C20" s="39"/>
      <c r="D20" s="44"/>
      <c r="E20" s="39"/>
      <c r="F20" s="39"/>
      <c r="G20" s="42"/>
      <c r="H20" s="39"/>
      <c r="I20" s="39"/>
      <c r="J20" s="44"/>
      <c r="K20" s="39"/>
      <c r="L20" s="39"/>
      <c r="M20" s="14"/>
      <c r="N20" s="76" t="s">
        <v>105</v>
      </c>
      <c r="O20" s="77"/>
      <c r="P20" s="77"/>
      <c r="Q20" s="77"/>
      <c r="R20" s="78"/>
      <c r="S20" s="14"/>
      <c r="T20" s="14"/>
      <c r="U20" s="14"/>
      <c r="V20" s="14"/>
      <c r="W20" s="14"/>
      <c r="X20" s="14"/>
      <c r="Y20" s="14"/>
      <c r="Z20" s="14"/>
    </row>
    <row r="21" spans="1:26" ht="15" customHeight="1" x14ac:dyDescent="0.35">
      <c r="A21" s="14"/>
      <c r="B21" s="39"/>
      <c r="C21" s="39"/>
      <c r="D21" s="44"/>
      <c r="E21" s="39"/>
      <c r="F21" s="39"/>
      <c r="G21" s="42"/>
      <c r="H21" s="39"/>
      <c r="I21" s="39"/>
      <c r="J21" s="44"/>
      <c r="K21" s="39"/>
      <c r="L21" s="39"/>
      <c r="M21" s="14"/>
      <c r="N21" s="65">
        <v>45752</v>
      </c>
      <c r="O21" s="66" t="s">
        <v>18</v>
      </c>
      <c r="P21" s="67">
        <v>40.9</v>
      </c>
      <c r="Q21" s="65" t="s">
        <v>19</v>
      </c>
      <c r="R21" s="37" t="s">
        <v>51</v>
      </c>
      <c r="S21" s="14"/>
      <c r="T21" s="14"/>
      <c r="U21" s="14"/>
      <c r="V21" s="14"/>
      <c r="W21" s="14"/>
      <c r="X21" s="14"/>
      <c r="Y21" s="14"/>
      <c r="Z21" s="14"/>
    </row>
    <row r="22" spans="1:26" ht="15" customHeight="1" x14ac:dyDescent="0.35">
      <c r="A22" s="14"/>
      <c r="B22" s="39"/>
      <c r="C22" s="39"/>
      <c r="D22" s="44"/>
      <c r="E22" s="39"/>
      <c r="F22" s="39"/>
      <c r="G22" s="42"/>
      <c r="H22" s="39"/>
      <c r="I22" s="39"/>
      <c r="J22" s="44"/>
      <c r="K22" s="39"/>
      <c r="L22" s="39"/>
      <c r="M22" s="14"/>
      <c r="N22" s="65">
        <v>45752</v>
      </c>
      <c r="O22" s="46" t="s">
        <v>97</v>
      </c>
      <c r="P22" s="49">
        <v>66.900000000000006</v>
      </c>
      <c r="Q22" s="65" t="s">
        <v>19</v>
      </c>
      <c r="R22" s="37" t="s">
        <v>51</v>
      </c>
      <c r="S22" s="14"/>
      <c r="T22" s="14"/>
      <c r="U22" s="14"/>
      <c r="V22" s="14"/>
      <c r="W22" s="14"/>
      <c r="X22" s="14"/>
      <c r="Y22" s="14"/>
      <c r="Z22" s="14"/>
    </row>
    <row r="23" spans="1:26" ht="15" customHeight="1" x14ac:dyDescent="0.35">
      <c r="A23" s="14"/>
      <c r="B23" s="39"/>
      <c r="C23" s="39"/>
      <c r="D23" s="44"/>
      <c r="E23" s="39"/>
      <c r="F23" s="39"/>
      <c r="G23" s="42"/>
      <c r="H23" s="39"/>
      <c r="I23" s="39"/>
      <c r="J23" s="44"/>
      <c r="K23" s="39"/>
      <c r="L23" s="39"/>
      <c r="M23" s="14"/>
      <c r="N23" s="65">
        <v>45752</v>
      </c>
      <c r="O23" s="46" t="s">
        <v>102</v>
      </c>
      <c r="P23" s="49">
        <v>59.99</v>
      </c>
      <c r="Q23" s="46" t="s">
        <v>19</v>
      </c>
      <c r="R23" s="37" t="s">
        <v>51</v>
      </c>
      <c r="S23" s="14"/>
      <c r="T23" s="14"/>
      <c r="U23" s="14"/>
      <c r="V23" s="14"/>
      <c r="W23" s="14"/>
      <c r="X23" s="14"/>
      <c r="Y23" s="14"/>
      <c r="Z23" s="14"/>
    </row>
    <row r="24" spans="1:26" ht="15" customHeight="1" x14ac:dyDescent="0.35">
      <c r="A24" s="14"/>
      <c r="B24" s="39"/>
      <c r="C24" s="39"/>
      <c r="D24" s="44"/>
      <c r="E24" s="39"/>
      <c r="F24" s="39"/>
      <c r="G24" s="42"/>
      <c r="H24" s="39"/>
      <c r="I24" s="39"/>
      <c r="J24" s="44"/>
      <c r="K24" s="39"/>
      <c r="L24" s="39"/>
      <c r="M24" s="14"/>
      <c r="N24" s="65">
        <v>45752</v>
      </c>
      <c r="O24" s="45" t="s">
        <v>103</v>
      </c>
      <c r="P24" s="50">
        <v>119.9</v>
      </c>
      <c r="Q24" s="37" t="s">
        <v>11</v>
      </c>
      <c r="R24" s="37" t="s">
        <v>51</v>
      </c>
      <c r="S24" s="14"/>
      <c r="T24" s="14"/>
      <c r="U24" s="14"/>
      <c r="V24" s="14"/>
      <c r="W24" s="14"/>
      <c r="X24" s="14"/>
      <c r="Y24" s="14"/>
      <c r="Z24" s="14"/>
    </row>
    <row r="25" spans="1:26" ht="15" customHeight="1" x14ac:dyDescent="0.35">
      <c r="A25" s="14"/>
      <c r="B25" s="39"/>
      <c r="C25" s="39"/>
      <c r="D25" s="44"/>
      <c r="E25" s="39"/>
      <c r="F25" s="39"/>
      <c r="G25" s="42"/>
      <c r="H25" s="39"/>
      <c r="I25" s="39"/>
      <c r="J25" s="44"/>
      <c r="K25" s="39"/>
      <c r="L25" s="39"/>
      <c r="M25" s="14"/>
      <c r="N25" s="65">
        <v>45752</v>
      </c>
      <c r="O25" s="45" t="s">
        <v>95</v>
      </c>
      <c r="P25" s="50">
        <v>50.08</v>
      </c>
      <c r="Q25" s="37" t="s">
        <v>11</v>
      </c>
      <c r="R25" s="37" t="s">
        <v>51</v>
      </c>
      <c r="S25" s="14"/>
      <c r="T25" s="14"/>
      <c r="U25" s="14"/>
      <c r="V25" s="14"/>
      <c r="W25" s="14"/>
      <c r="X25" s="14"/>
      <c r="Y25" s="14"/>
      <c r="Z25" s="14"/>
    </row>
    <row r="26" spans="1:26" ht="15" customHeight="1" x14ac:dyDescent="0.35">
      <c r="A26" s="14"/>
      <c r="B26" s="39"/>
      <c r="C26" s="39"/>
      <c r="D26" s="44"/>
      <c r="E26" s="39"/>
      <c r="F26" s="39"/>
      <c r="G26" s="42"/>
      <c r="H26" s="39"/>
      <c r="I26" s="39"/>
      <c r="J26" s="44"/>
      <c r="K26" s="39"/>
      <c r="L26" s="39"/>
      <c r="M26" s="14"/>
      <c r="N26" s="65">
        <v>45752</v>
      </c>
      <c r="O26" s="46" t="s">
        <v>104</v>
      </c>
      <c r="P26" s="49">
        <v>38.36</v>
      </c>
      <c r="Q26" s="37" t="s">
        <v>11</v>
      </c>
      <c r="R26" s="37" t="s">
        <v>51</v>
      </c>
      <c r="S26" s="14"/>
      <c r="T26" s="14"/>
      <c r="U26" s="14"/>
      <c r="V26" s="14"/>
      <c r="W26" s="14"/>
      <c r="X26" s="14"/>
      <c r="Y26" s="14"/>
      <c r="Z26" s="14"/>
    </row>
    <row r="27" spans="1:26" ht="15" customHeight="1" x14ac:dyDescent="0.35">
      <c r="A27" s="14"/>
      <c r="B27" s="39"/>
      <c r="C27" s="39"/>
      <c r="D27" s="44"/>
      <c r="E27" s="39"/>
      <c r="F27" s="39"/>
      <c r="G27" s="42"/>
      <c r="H27" s="39"/>
      <c r="I27" s="39"/>
      <c r="J27" s="44"/>
      <c r="K27" s="39"/>
      <c r="L27" s="39"/>
      <c r="M27" s="14"/>
      <c r="N27" s="65">
        <v>45752</v>
      </c>
      <c r="O27" s="46" t="s">
        <v>112</v>
      </c>
      <c r="P27" s="50">
        <v>89.9</v>
      </c>
      <c r="Q27" s="37" t="s">
        <v>75</v>
      </c>
      <c r="R27" s="37" t="s">
        <v>51</v>
      </c>
      <c r="S27" s="14"/>
      <c r="T27" s="14"/>
      <c r="U27" s="14"/>
      <c r="V27" s="14"/>
      <c r="W27" s="14"/>
      <c r="X27" s="14"/>
      <c r="Y27" s="14"/>
      <c r="Z27" s="14"/>
    </row>
    <row r="28" spans="1:26" ht="15" customHeight="1" x14ac:dyDescent="0.35">
      <c r="A28" s="14"/>
      <c r="B28" s="39"/>
      <c r="C28" s="39"/>
      <c r="D28" s="44"/>
      <c r="E28" s="39"/>
      <c r="F28" s="39"/>
      <c r="G28" s="42"/>
      <c r="H28" s="39"/>
      <c r="I28" s="39"/>
      <c r="J28" s="44"/>
      <c r="K28" s="39"/>
      <c r="L28" s="39"/>
      <c r="M28" s="14"/>
      <c r="N28" s="65">
        <v>45752</v>
      </c>
      <c r="O28" s="46" t="s">
        <v>99</v>
      </c>
      <c r="P28" s="50">
        <v>89.9</v>
      </c>
      <c r="Q28" s="37" t="s">
        <v>75</v>
      </c>
      <c r="R28" s="37" t="s">
        <v>51</v>
      </c>
      <c r="S28" s="14"/>
      <c r="T28" s="14"/>
      <c r="U28" s="14"/>
      <c r="V28" s="14"/>
      <c r="W28" s="14"/>
      <c r="X28" s="14"/>
      <c r="Y28" s="14"/>
      <c r="Z28" s="14"/>
    </row>
    <row r="29" spans="1:26" ht="15" customHeight="1" x14ac:dyDescent="0.35">
      <c r="A29" s="14"/>
      <c r="B29" s="39"/>
      <c r="C29" s="39"/>
      <c r="D29" s="44"/>
      <c r="E29" s="39"/>
      <c r="F29" s="39"/>
      <c r="G29" s="42"/>
      <c r="H29" s="39"/>
      <c r="I29" s="39"/>
      <c r="J29" s="44"/>
      <c r="K29" s="39"/>
      <c r="L29" s="39"/>
      <c r="M29" s="14"/>
      <c r="N29" s="65"/>
      <c r="O29" s="46"/>
      <c r="P29" s="49"/>
      <c r="Q29" s="46"/>
      <c r="R29" s="37"/>
      <c r="S29" s="14"/>
      <c r="T29" s="14"/>
      <c r="U29" s="14"/>
      <c r="V29" s="14"/>
      <c r="W29" s="14"/>
      <c r="X29" s="14"/>
      <c r="Y29" s="14"/>
      <c r="Z29" s="14"/>
    </row>
    <row r="30" spans="1:26" ht="15" customHeight="1" x14ac:dyDescent="0.35">
      <c r="A30" s="14"/>
      <c r="B30" s="39"/>
      <c r="C30" s="39"/>
      <c r="D30" s="44"/>
      <c r="E30" s="39"/>
      <c r="F30" s="39"/>
      <c r="G30" s="42"/>
      <c r="H30" s="39"/>
      <c r="I30" s="39"/>
      <c r="J30" s="44"/>
      <c r="K30" s="39"/>
      <c r="L30" s="39"/>
      <c r="M30" s="14"/>
      <c r="N30" s="65"/>
      <c r="O30" s="46"/>
      <c r="P30" s="49"/>
      <c r="Q30" s="46"/>
      <c r="R30" s="37"/>
      <c r="S30" s="14"/>
      <c r="T30" s="14"/>
      <c r="U30" s="14"/>
      <c r="V30" s="14"/>
      <c r="W30" s="14"/>
      <c r="X30" s="14"/>
      <c r="Y30" s="14"/>
      <c r="Z30" s="14"/>
    </row>
    <row r="31" spans="1:26" ht="15" customHeight="1" x14ac:dyDescent="0.35">
      <c r="A31" s="14"/>
      <c r="B31" s="39"/>
      <c r="C31" s="39"/>
      <c r="D31" s="44"/>
      <c r="E31" s="39"/>
      <c r="F31" s="39"/>
      <c r="G31" s="42"/>
      <c r="H31" s="39"/>
      <c r="I31" s="39"/>
      <c r="J31" s="44"/>
      <c r="K31" s="39"/>
      <c r="L31" s="39"/>
      <c r="M31" s="14"/>
      <c r="N31" s="37"/>
      <c r="O31" s="46"/>
      <c r="P31" s="49"/>
      <c r="Q31" s="46"/>
      <c r="R31" s="37"/>
      <c r="S31" s="14"/>
      <c r="T31" s="14"/>
      <c r="U31" s="14"/>
      <c r="V31" s="14"/>
      <c r="W31" s="14"/>
      <c r="X31" s="14"/>
      <c r="Y31" s="14"/>
      <c r="Z31" s="14"/>
    </row>
    <row r="32" spans="1:26" ht="15" customHeight="1" x14ac:dyDescent="0.35">
      <c r="A32" s="14"/>
      <c r="B32" s="39"/>
      <c r="C32" s="39"/>
      <c r="D32" s="44"/>
      <c r="E32" s="39"/>
      <c r="F32" s="39"/>
      <c r="G32" s="42"/>
      <c r="H32" s="39"/>
      <c r="I32" s="39"/>
      <c r="J32" s="44"/>
      <c r="K32" s="39"/>
      <c r="L32" s="39"/>
      <c r="M32" s="14"/>
      <c r="N32" s="37"/>
      <c r="O32" s="46"/>
      <c r="P32" s="49"/>
      <c r="Q32" s="46"/>
      <c r="R32" s="64"/>
      <c r="S32" s="14"/>
      <c r="T32" s="14"/>
      <c r="U32" s="14"/>
      <c r="V32" s="14"/>
      <c r="W32" s="14"/>
      <c r="X32" s="14"/>
      <c r="Y32" s="14"/>
      <c r="Z32" s="14"/>
    </row>
    <row r="33" spans="1:26" ht="15" customHeight="1" x14ac:dyDescent="0.35">
      <c r="A33" s="14"/>
      <c r="B33" s="39"/>
      <c r="C33" s="39"/>
      <c r="D33" s="44"/>
      <c r="E33" s="39"/>
      <c r="F33" s="39"/>
      <c r="G33" s="42"/>
      <c r="H33" s="39"/>
      <c r="I33" s="39"/>
      <c r="J33" s="44"/>
      <c r="K33" s="39"/>
      <c r="L33" s="39"/>
      <c r="M33" s="14"/>
      <c r="N33" s="37"/>
      <c r="O33" s="46"/>
      <c r="P33" s="49"/>
      <c r="Q33" s="46"/>
      <c r="R33" s="37"/>
      <c r="S33" s="14"/>
      <c r="T33" s="14"/>
      <c r="U33" s="14"/>
      <c r="V33" s="14"/>
      <c r="W33" s="14"/>
      <c r="X33" s="14"/>
      <c r="Y33" s="14"/>
      <c r="Z33" s="14"/>
    </row>
    <row r="34" spans="1:26" ht="15" customHeight="1" x14ac:dyDescent="0.35">
      <c r="A34" s="14"/>
      <c r="B34" s="39"/>
      <c r="C34" s="39"/>
      <c r="D34" s="44"/>
      <c r="E34" s="39"/>
      <c r="F34" s="39"/>
      <c r="G34" s="42"/>
      <c r="H34" s="39"/>
      <c r="I34" s="39"/>
      <c r="J34" s="44"/>
      <c r="K34" s="39"/>
      <c r="L34" s="39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x14ac:dyDescent="0.35">
      <c r="A35" s="14"/>
      <c r="B35" s="39"/>
      <c r="C35" s="39"/>
      <c r="D35" s="44"/>
      <c r="E35" s="39"/>
      <c r="F35" s="39"/>
      <c r="G35" s="42"/>
      <c r="H35" s="39"/>
      <c r="I35" s="39"/>
      <c r="J35" s="44"/>
      <c r="K35" s="39"/>
      <c r="L35" s="39"/>
      <c r="M35" s="14"/>
      <c r="N35" s="14"/>
      <c r="O35" s="38" t="s">
        <v>98</v>
      </c>
      <c r="P35" s="47">
        <f>SUMIF(F6:F35, "Crédito", D6:D35) + SUMIF(L6:L35, "Crédito", J6:J35) + SUMIF(R16:R33, "Crédito", P16:P33)</f>
        <v>555.93000000000006</v>
      </c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x14ac:dyDescent="0.3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x14ac:dyDescent="0.35">
      <c r="D37"/>
    </row>
    <row r="38" spans="1:26" x14ac:dyDescent="0.35">
      <c r="D38"/>
    </row>
    <row r="39" spans="1:26" x14ac:dyDescent="0.35">
      <c r="D39"/>
    </row>
    <row r="40" spans="1:26" x14ac:dyDescent="0.35">
      <c r="D40"/>
    </row>
    <row r="41" spans="1:26" x14ac:dyDescent="0.35">
      <c r="D41"/>
    </row>
    <row r="42" spans="1:26" x14ac:dyDescent="0.35">
      <c r="D42"/>
    </row>
    <row r="43" spans="1:26" x14ac:dyDescent="0.35">
      <c r="D43"/>
    </row>
    <row r="44" spans="1:26" x14ac:dyDescent="0.35">
      <c r="D44"/>
    </row>
  </sheetData>
  <mergeCells count="6">
    <mergeCell ref="N20:R20"/>
    <mergeCell ref="B2:L2"/>
    <mergeCell ref="B3:L3"/>
    <mergeCell ref="B4:F4"/>
    <mergeCell ref="H4:L4"/>
    <mergeCell ref="N14:R14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E1D37D6-C49D-49BA-828C-FF2C74CEDB38}">
          <x14:formula1>
            <xm:f>'Planilha apoio'!$A$2:$A$13</xm:f>
          </x14:formula1>
          <xm:sqref>E44:F1048576</xm:sqref>
        </x14:dataValidation>
        <x14:dataValidation type="list" allowBlank="1" showInputMessage="1" showErrorMessage="1" xr:uid="{C72DBA0A-666F-4A4F-AFB5-D398E2F45329}">
          <x14:formula1>
            <xm:f>'Planilha apoio'!#REF!</xm:f>
          </x14:formula1>
          <xm:sqref>G44:G1048576 M16</xm:sqref>
        </x14:dataValidation>
        <x14:dataValidation type="list" allowBlank="1" showInputMessage="1" showErrorMessage="1" xr:uid="{D022BB38-37A8-4F82-AEDF-EFB660A9B89F}">
          <x14:formula1>
            <xm:f>'Planilha apoio'!$B$3:$B$8</xm:f>
          </x14:formula1>
          <xm:sqref>L6:L35 F6:F35</xm:sqref>
        </x14:dataValidation>
        <x14:dataValidation type="list" allowBlank="1" showInputMessage="1" showErrorMessage="1" xr:uid="{32D7D97C-EC06-42C5-8990-8822E545EE46}">
          <x14:formula1>
            <xm:f>'Planilha apoio'!$B$2:$B$8</xm:f>
          </x14:formula1>
          <xm:sqref>R16:R19</xm:sqref>
        </x14:dataValidation>
        <x14:dataValidation type="list" allowBlank="1" showInputMessage="1" showErrorMessage="1" xr:uid="{84E4A0C7-BC73-4B71-B872-9CC9D09E453E}">
          <x14:formula1>
            <xm:f>'Planilha apoio'!$A$2:$A$42</xm:f>
          </x14:formula1>
          <xm:sqref>Q16:Q19 R34:R35 E6:E35 K6:K35 Q34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C194F-125A-473A-8C13-754B99139ACF}">
  <dimension ref="A1:Z44"/>
  <sheetViews>
    <sheetView zoomScaleNormal="100" workbookViewId="0">
      <selection activeCell="O27" sqref="O27"/>
    </sheetView>
  </sheetViews>
  <sheetFormatPr defaultRowHeight="14.5" x14ac:dyDescent="0.35"/>
  <cols>
    <col min="1" max="1" width="1.36328125" customWidth="1"/>
    <col min="2" max="2" width="7.1796875" bestFit="1" customWidth="1"/>
    <col min="3" max="3" width="19.54296875" bestFit="1" customWidth="1"/>
    <col min="4" max="4" width="10.54296875" style="1" bestFit="1" customWidth="1"/>
    <col min="5" max="5" width="11.26953125" bestFit="1" customWidth="1"/>
    <col min="6" max="6" width="11.26953125" customWidth="1"/>
    <col min="7" max="7" width="2.54296875" customWidth="1"/>
    <col min="8" max="8" width="7.1796875" bestFit="1" customWidth="1"/>
    <col min="9" max="9" width="19.54296875" bestFit="1" customWidth="1"/>
    <col min="10" max="10" width="10.54296875" bestFit="1" customWidth="1"/>
    <col min="11" max="11" width="11.26953125" bestFit="1" customWidth="1"/>
    <col min="12" max="12" width="11.26953125" customWidth="1"/>
    <col min="13" max="13" width="2.7265625" customWidth="1"/>
    <col min="14" max="14" width="9.54296875" bestFit="1" customWidth="1"/>
    <col min="15" max="15" width="18.36328125" customWidth="1"/>
    <col min="16" max="16" width="11.6328125" customWidth="1"/>
    <col min="17" max="17" width="11.6328125" bestFit="1" customWidth="1"/>
    <col min="18" max="18" width="11.6328125" customWidth="1"/>
    <col min="19" max="19" width="12.1796875" bestFit="1" customWidth="1"/>
    <col min="21" max="21" width="3.7265625" customWidth="1"/>
  </cols>
  <sheetData>
    <row r="1" spans="1:26" ht="7" customHeight="1" thickBot="1" x14ac:dyDescent="0.4">
      <c r="A1" s="14"/>
      <c r="B1" s="14"/>
      <c r="C1" s="14"/>
      <c r="D1" s="15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x14ac:dyDescent="0.35">
      <c r="A2" s="14"/>
      <c r="B2" s="79">
        <v>46113</v>
      </c>
      <c r="C2" s="80"/>
      <c r="D2" s="80"/>
      <c r="E2" s="80"/>
      <c r="F2" s="80"/>
      <c r="G2" s="80"/>
      <c r="H2" s="80"/>
      <c r="I2" s="80"/>
      <c r="J2" s="80"/>
      <c r="K2" s="80"/>
      <c r="L2" s="81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5" thickBot="1" x14ac:dyDescent="0.4">
      <c r="A3" s="14"/>
      <c r="B3" s="82" t="s">
        <v>81</v>
      </c>
      <c r="C3" s="83"/>
      <c r="D3" s="83"/>
      <c r="E3" s="83"/>
      <c r="F3" s="83"/>
      <c r="G3" s="84"/>
      <c r="H3" s="83"/>
      <c r="I3" s="83"/>
      <c r="J3" s="83"/>
      <c r="K3" s="83"/>
      <c r="L3" s="85"/>
      <c r="M3" s="35"/>
      <c r="N3" s="41" t="s">
        <v>82</v>
      </c>
      <c r="O3" s="8" t="s">
        <v>83</v>
      </c>
      <c r="P3" s="8" t="s">
        <v>84</v>
      </c>
      <c r="Q3" s="8" t="s">
        <v>85</v>
      </c>
      <c r="R3" s="14"/>
      <c r="S3" s="14"/>
      <c r="T3" s="14"/>
      <c r="U3" s="14"/>
      <c r="V3" s="14"/>
      <c r="W3" s="14"/>
      <c r="X3" s="14"/>
      <c r="Y3" s="14"/>
      <c r="Z3" s="14"/>
    </row>
    <row r="4" spans="1:26" ht="15" thickBot="1" x14ac:dyDescent="0.4">
      <c r="A4" s="14"/>
      <c r="B4" s="86" t="s">
        <v>86</v>
      </c>
      <c r="C4" s="87"/>
      <c r="D4" s="87"/>
      <c r="E4" s="87"/>
      <c r="F4" s="88"/>
      <c r="G4" s="14"/>
      <c r="H4" s="89" t="s">
        <v>87</v>
      </c>
      <c r="I4" s="90"/>
      <c r="J4" s="90"/>
      <c r="K4" s="90"/>
      <c r="L4" s="91"/>
      <c r="M4" s="35"/>
      <c r="N4" s="41" t="s">
        <v>88</v>
      </c>
      <c r="O4" s="40">
        <v>3000</v>
      </c>
      <c r="Q4" s="6">
        <f>SUM(O4+P4)</f>
        <v>3000</v>
      </c>
      <c r="R4" s="14"/>
      <c r="S4" s="14"/>
      <c r="T4" s="14"/>
      <c r="U4" s="14"/>
      <c r="V4" s="14"/>
      <c r="W4" s="14"/>
      <c r="X4" s="14"/>
      <c r="Y4" s="14"/>
      <c r="Z4" s="14"/>
    </row>
    <row r="5" spans="1:26" ht="15" customHeight="1" x14ac:dyDescent="0.35">
      <c r="A5" s="35"/>
      <c r="B5" s="52" t="s">
        <v>4</v>
      </c>
      <c r="C5" s="52" t="s">
        <v>5</v>
      </c>
      <c r="D5" s="53" t="s">
        <v>6</v>
      </c>
      <c r="E5" s="52" t="s">
        <v>7</v>
      </c>
      <c r="F5" s="52" t="s">
        <v>106</v>
      </c>
      <c r="G5" s="14"/>
      <c r="H5" s="52" t="s">
        <v>4</v>
      </c>
      <c r="I5" s="52" t="s">
        <v>5</v>
      </c>
      <c r="J5" s="53" t="s">
        <v>6</v>
      </c>
      <c r="K5" s="52" t="s">
        <v>7</v>
      </c>
      <c r="L5" s="52" t="s">
        <v>106</v>
      </c>
      <c r="M5" s="14"/>
      <c r="N5" s="41" t="s">
        <v>89</v>
      </c>
      <c r="O5" s="40">
        <v>2000</v>
      </c>
      <c r="P5" s="6"/>
      <c r="Q5" s="6">
        <f>SUM(O5+P5)</f>
        <v>2000</v>
      </c>
      <c r="R5" s="14"/>
      <c r="S5" s="14"/>
      <c r="T5" s="14"/>
      <c r="U5" s="14"/>
      <c r="V5" s="14"/>
      <c r="W5" s="14"/>
      <c r="X5" s="14"/>
      <c r="Y5" s="14"/>
      <c r="Z5" s="14"/>
    </row>
    <row r="6" spans="1:26" ht="15" customHeight="1" x14ac:dyDescent="0.35">
      <c r="A6" s="35"/>
      <c r="B6" s="37"/>
      <c r="C6" s="39"/>
      <c r="D6" s="44"/>
      <c r="E6" s="39"/>
      <c r="F6" s="39"/>
      <c r="G6" s="42"/>
      <c r="H6" s="37"/>
      <c r="I6" s="39"/>
      <c r="J6" s="44"/>
      <c r="K6" s="39"/>
      <c r="L6" s="39"/>
      <c r="M6" s="35"/>
      <c r="N6" s="41" t="s">
        <v>101</v>
      </c>
      <c r="O6" s="40">
        <v>1012</v>
      </c>
      <c r="P6" s="41" t="s">
        <v>85</v>
      </c>
      <c r="Q6" s="6">
        <f>SUM(Q4:Q5)</f>
        <v>5000</v>
      </c>
      <c r="R6" s="14"/>
      <c r="S6" s="14"/>
      <c r="T6" s="14"/>
      <c r="U6" s="14"/>
      <c r="V6" s="14"/>
      <c r="W6" s="14"/>
      <c r="X6" s="14"/>
      <c r="Y6" s="14"/>
      <c r="Z6" s="14"/>
    </row>
    <row r="7" spans="1:26" ht="15" customHeight="1" x14ac:dyDescent="0.35">
      <c r="A7" s="35"/>
      <c r="B7" s="37"/>
      <c r="C7" s="39"/>
      <c r="D7" s="44"/>
      <c r="E7" s="39"/>
      <c r="F7" s="39"/>
      <c r="G7" s="42"/>
      <c r="H7" s="37"/>
      <c r="I7" s="39"/>
      <c r="J7" s="44"/>
      <c r="K7" s="39"/>
      <c r="L7" s="39"/>
      <c r="M7" s="35"/>
      <c r="N7" s="14"/>
      <c r="O7" s="14"/>
      <c r="P7" s="41" t="s">
        <v>90</v>
      </c>
      <c r="Q7" s="6">
        <f>SUM(Q6+O6)</f>
        <v>6012</v>
      </c>
      <c r="R7" s="14"/>
      <c r="S7" s="14"/>
      <c r="T7" s="14"/>
      <c r="U7" s="14"/>
      <c r="V7" s="14"/>
      <c r="W7" s="14"/>
      <c r="X7" s="14"/>
      <c r="Y7" s="14"/>
      <c r="Z7" s="14"/>
    </row>
    <row r="8" spans="1:26" ht="15" customHeight="1" x14ac:dyDescent="0.35">
      <c r="A8" s="35"/>
      <c r="B8" s="37"/>
      <c r="C8" s="39"/>
      <c r="D8" s="44"/>
      <c r="E8" s="39"/>
      <c r="F8" s="39"/>
      <c r="G8" s="42"/>
      <c r="H8" s="37"/>
      <c r="I8" s="39"/>
      <c r="J8" s="44"/>
      <c r="K8" s="39"/>
      <c r="L8" s="39"/>
      <c r="M8" s="35"/>
      <c r="N8" s="42"/>
      <c r="O8" s="15"/>
      <c r="P8" s="15"/>
      <c r="Q8" s="15"/>
      <c r="R8" s="15"/>
      <c r="S8" s="14"/>
      <c r="T8" s="14"/>
      <c r="U8" s="14"/>
      <c r="V8" s="14"/>
      <c r="W8" s="14"/>
      <c r="X8" s="14"/>
      <c r="Y8" s="14"/>
      <c r="Z8" s="14"/>
    </row>
    <row r="9" spans="1:26" ht="15" customHeight="1" thickBot="1" x14ac:dyDescent="0.4">
      <c r="A9" s="35"/>
      <c r="B9" s="39"/>
      <c r="C9" s="39"/>
      <c r="D9" s="44"/>
      <c r="E9" s="39"/>
      <c r="F9" s="39"/>
      <c r="G9" s="42"/>
      <c r="H9" s="39"/>
      <c r="I9" s="56"/>
      <c r="J9" s="44"/>
      <c r="K9" s="39"/>
      <c r="L9" s="39"/>
      <c r="M9" s="35"/>
      <c r="N9" s="43" t="s">
        <v>91</v>
      </c>
      <c r="O9" s="24">
        <v>1000</v>
      </c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15" customHeight="1" thickBot="1" x14ac:dyDescent="0.4">
      <c r="A10" s="35"/>
      <c r="B10" s="39"/>
      <c r="C10" s="39"/>
      <c r="D10" s="44"/>
      <c r="E10" s="39"/>
      <c r="F10" s="39"/>
      <c r="G10" s="42"/>
      <c r="H10" s="54"/>
      <c r="I10" s="58"/>
      <c r="J10" s="55"/>
      <c r="K10" s="39"/>
      <c r="L10" s="39"/>
      <c r="M10" s="35"/>
      <c r="N10" s="43" t="s">
        <v>92</v>
      </c>
      <c r="O10" s="6">
        <f>SUM(P16:P19) + SUM(P21:P33)</f>
        <v>2325.0100000000002</v>
      </c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15" customHeight="1" x14ac:dyDescent="0.35">
      <c r="A11" s="35"/>
      <c r="B11" s="39"/>
      <c r="C11" s="39"/>
      <c r="D11" s="44"/>
      <c r="E11" s="39"/>
      <c r="F11" s="39"/>
      <c r="G11" s="42"/>
      <c r="H11" s="39"/>
      <c r="I11" s="57"/>
      <c r="J11" s="44"/>
      <c r="K11" s="39"/>
      <c r="L11" s="39"/>
      <c r="M11" s="35"/>
      <c r="N11" s="43" t="s">
        <v>93</v>
      </c>
      <c r="O11" s="6" cm="1">
        <f t="array" ref="O11">SUM(D6:D35+J6:J35)</f>
        <v>0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15" customHeight="1" x14ac:dyDescent="0.35">
      <c r="A12" s="35"/>
      <c r="B12" s="39"/>
      <c r="C12" s="39"/>
      <c r="D12" s="44"/>
      <c r="E12" s="39"/>
      <c r="F12" s="39"/>
      <c r="G12" s="42"/>
      <c r="H12" s="39"/>
      <c r="I12" s="39"/>
      <c r="J12" s="44"/>
      <c r="K12" s="39"/>
      <c r="L12" s="39"/>
      <c r="M12" s="35"/>
      <c r="N12" s="43" t="s">
        <v>24</v>
      </c>
      <c r="O12" s="6">
        <f>SUM(O9:O11)</f>
        <v>3325.01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15" customHeight="1" thickBot="1" x14ac:dyDescent="0.4">
      <c r="A13" s="35"/>
      <c r="B13" s="39"/>
      <c r="C13" s="39"/>
      <c r="D13" s="44"/>
      <c r="E13" s="39"/>
      <c r="F13" s="39"/>
      <c r="G13" s="42"/>
      <c r="H13" s="39"/>
      <c r="I13" s="39"/>
      <c r="J13" s="44"/>
      <c r="K13" s="39"/>
      <c r="L13" s="39"/>
      <c r="M13" s="35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15" customHeight="1" thickBot="1" x14ac:dyDescent="0.4">
      <c r="A14" s="35"/>
      <c r="B14" s="37"/>
      <c r="C14" s="39"/>
      <c r="D14" s="44"/>
      <c r="E14" s="39"/>
      <c r="F14" s="39"/>
      <c r="G14" s="42"/>
      <c r="H14" s="37"/>
      <c r="I14" s="39"/>
      <c r="J14" s="44"/>
      <c r="K14" s="39"/>
      <c r="L14" s="39"/>
      <c r="M14" s="35"/>
      <c r="N14" s="76" t="s">
        <v>94</v>
      </c>
      <c r="O14" s="77"/>
      <c r="P14" s="77"/>
      <c r="Q14" s="77"/>
      <c r="R14" s="78"/>
      <c r="S14" s="14"/>
      <c r="T14" s="14"/>
      <c r="U14" s="14"/>
      <c r="V14" s="14"/>
      <c r="W14" s="14"/>
      <c r="X14" s="14"/>
      <c r="Y14" s="14"/>
      <c r="Z14" s="14"/>
    </row>
    <row r="15" spans="1:26" ht="15" customHeight="1" x14ac:dyDescent="0.35">
      <c r="A15" s="35"/>
      <c r="B15" s="37"/>
      <c r="C15" s="39"/>
      <c r="D15" s="44"/>
      <c r="E15" s="39"/>
      <c r="F15" s="39"/>
      <c r="G15" s="42"/>
      <c r="H15" s="37"/>
      <c r="I15" s="39"/>
      <c r="J15" s="44"/>
      <c r="K15" s="39"/>
      <c r="L15" s="39"/>
      <c r="M15" s="35"/>
      <c r="N15" s="59" t="s">
        <v>4</v>
      </c>
      <c r="O15" s="60" t="s">
        <v>5</v>
      </c>
      <c r="P15" s="61" t="s">
        <v>6</v>
      </c>
      <c r="Q15" s="59" t="s">
        <v>7</v>
      </c>
      <c r="R15" s="59" t="s">
        <v>106</v>
      </c>
      <c r="S15" s="14"/>
      <c r="T15" s="14"/>
      <c r="U15" s="14"/>
      <c r="V15" s="14"/>
      <c r="W15" s="14"/>
      <c r="X15" s="14"/>
      <c r="Y15" s="14"/>
      <c r="Z15" s="14"/>
    </row>
    <row r="16" spans="1:26" ht="15" customHeight="1" x14ac:dyDescent="0.35">
      <c r="A16" s="14"/>
      <c r="B16" s="39"/>
      <c r="C16" s="39"/>
      <c r="D16" s="44"/>
      <c r="E16" s="39"/>
      <c r="F16" s="39"/>
      <c r="G16" s="42"/>
      <c r="H16" s="39"/>
      <c r="I16" s="39"/>
      <c r="J16" s="44"/>
      <c r="K16" s="39"/>
      <c r="L16" s="39"/>
      <c r="M16" s="14"/>
      <c r="N16" s="65">
        <v>45752</v>
      </c>
      <c r="O16" s="45" t="s">
        <v>22</v>
      </c>
      <c r="P16" s="50">
        <v>850</v>
      </c>
      <c r="Q16" s="37" t="s">
        <v>22</v>
      </c>
      <c r="R16" s="37" t="s">
        <v>72</v>
      </c>
      <c r="S16" s="14"/>
      <c r="T16" s="14"/>
      <c r="U16" s="14"/>
      <c r="V16" s="14"/>
      <c r="W16" s="14"/>
      <c r="X16" s="14"/>
      <c r="Y16" s="14"/>
      <c r="Z16" s="14"/>
    </row>
    <row r="17" spans="1:26" ht="15" customHeight="1" x14ac:dyDescent="0.35">
      <c r="A17" s="14"/>
      <c r="B17" s="39"/>
      <c r="C17" s="39"/>
      <c r="D17" s="44"/>
      <c r="E17" s="39"/>
      <c r="F17" s="39"/>
      <c r="G17" s="42"/>
      <c r="H17" s="39"/>
      <c r="I17" s="39"/>
      <c r="J17" s="44"/>
      <c r="K17" s="39"/>
      <c r="L17" s="39"/>
      <c r="M17" s="35"/>
      <c r="N17" s="65">
        <v>45752</v>
      </c>
      <c r="O17" s="45" t="s">
        <v>25</v>
      </c>
      <c r="P17" s="50">
        <v>220</v>
      </c>
      <c r="Q17" s="37" t="s">
        <v>25</v>
      </c>
      <c r="R17" s="37" t="s">
        <v>72</v>
      </c>
      <c r="S17" s="14"/>
      <c r="T17" s="14"/>
      <c r="U17" s="14"/>
      <c r="V17" s="14"/>
      <c r="W17" s="14"/>
      <c r="X17" s="14"/>
      <c r="Y17" s="14"/>
      <c r="Z17" s="14"/>
    </row>
    <row r="18" spans="1:26" ht="15" customHeight="1" x14ac:dyDescent="0.35">
      <c r="A18" s="36"/>
      <c r="B18" s="39"/>
      <c r="C18" s="39"/>
      <c r="D18" s="44"/>
      <c r="E18" s="39"/>
      <c r="F18" s="39"/>
      <c r="G18" s="42"/>
      <c r="H18" s="39"/>
      <c r="I18" s="39"/>
      <c r="J18" s="44"/>
      <c r="K18" s="39"/>
      <c r="L18" s="39"/>
      <c r="M18" s="35"/>
      <c r="N18" s="65">
        <v>45752</v>
      </c>
      <c r="O18" s="46" t="s">
        <v>96</v>
      </c>
      <c r="P18" s="50">
        <f>SUM('jan-26'!P35)</f>
        <v>555.93000000000006</v>
      </c>
      <c r="Q18" s="48" t="s">
        <v>60</v>
      </c>
      <c r="R18" s="48" t="s">
        <v>72</v>
      </c>
      <c r="S18" s="14"/>
      <c r="T18" s="14"/>
      <c r="U18" s="14"/>
      <c r="V18" s="14"/>
      <c r="W18" s="14"/>
      <c r="X18" s="14"/>
      <c r="Y18" s="14"/>
      <c r="Z18" s="14"/>
    </row>
    <row r="19" spans="1:26" ht="15" customHeight="1" thickBot="1" x14ac:dyDescent="0.4">
      <c r="A19" s="36"/>
      <c r="B19" s="39"/>
      <c r="C19" s="39"/>
      <c r="D19" s="44"/>
      <c r="E19" s="39"/>
      <c r="F19" s="39"/>
      <c r="G19" s="42"/>
      <c r="H19" s="39"/>
      <c r="I19" s="39"/>
      <c r="J19" s="44"/>
      <c r="K19" s="39"/>
      <c r="L19" s="39"/>
      <c r="M19" s="14"/>
      <c r="N19" s="65">
        <v>45752</v>
      </c>
      <c r="O19" s="62" t="s">
        <v>100</v>
      </c>
      <c r="P19" s="63">
        <v>143.15</v>
      </c>
      <c r="Q19" s="64" t="s">
        <v>59</v>
      </c>
      <c r="R19" s="64" t="s">
        <v>108</v>
      </c>
      <c r="S19" s="14"/>
      <c r="T19" s="14"/>
      <c r="U19" s="14"/>
      <c r="V19" s="14"/>
      <c r="W19" s="14"/>
      <c r="X19" s="14"/>
      <c r="Y19" s="14"/>
      <c r="Z19" s="14"/>
    </row>
    <row r="20" spans="1:26" ht="15" customHeight="1" thickBot="1" x14ac:dyDescent="0.4">
      <c r="A20" s="14"/>
      <c r="B20" s="39"/>
      <c r="C20" s="39"/>
      <c r="D20" s="44"/>
      <c r="E20" s="39"/>
      <c r="F20" s="39"/>
      <c r="G20" s="42"/>
      <c r="H20" s="39"/>
      <c r="I20" s="39"/>
      <c r="J20" s="44"/>
      <c r="K20" s="39"/>
      <c r="L20" s="39"/>
      <c r="M20" s="14"/>
      <c r="N20" s="76" t="s">
        <v>105</v>
      </c>
      <c r="O20" s="77"/>
      <c r="P20" s="77"/>
      <c r="Q20" s="77"/>
      <c r="R20" s="78"/>
      <c r="S20" s="14"/>
      <c r="T20" s="14"/>
      <c r="U20" s="14"/>
      <c r="V20" s="14"/>
      <c r="W20" s="14"/>
      <c r="X20" s="14"/>
      <c r="Y20" s="14"/>
      <c r="Z20" s="14"/>
    </row>
    <row r="21" spans="1:26" ht="15" customHeight="1" x14ac:dyDescent="0.35">
      <c r="A21" s="14"/>
      <c r="B21" s="39"/>
      <c r="C21" s="39"/>
      <c r="D21" s="44"/>
      <c r="E21" s="39"/>
      <c r="F21" s="39"/>
      <c r="G21" s="42"/>
      <c r="H21" s="39"/>
      <c r="I21" s="39"/>
      <c r="J21" s="44"/>
      <c r="K21" s="39"/>
      <c r="L21" s="39"/>
      <c r="M21" s="14"/>
      <c r="N21" s="65">
        <v>45782</v>
      </c>
      <c r="O21" s="66" t="s">
        <v>18</v>
      </c>
      <c r="P21" s="67">
        <v>40.9</v>
      </c>
      <c r="Q21" s="65" t="s">
        <v>19</v>
      </c>
      <c r="R21" s="37" t="s">
        <v>51</v>
      </c>
      <c r="S21" s="14"/>
      <c r="T21" s="14"/>
      <c r="U21" s="14"/>
      <c r="V21" s="14"/>
      <c r="W21" s="14"/>
      <c r="X21" s="14"/>
      <c r="Y21" s="14"/>
      <c r="Z21" s="14"/>
    </row>
    <row r="22" spans="1:26" ht="15" customHeight="1" x14ac:dyDescent="0.35">
      <c r="A22" s="14"/>
      <c r="B22" s="39"/>
      <c r="C22" s="39"/>
      <c r="D22" s="44"/>
      <c r="E22" s="39"/>
      <c r="F22" s="39"/>
      <c r="G22" s="42"/>
      <c r="H22" s="39"/>
      <c r="I22" s="39"/>
      <c r="J22" s="44"/>
      <c r="K22" s="39"/>
      <c r="L22" s="39"/>
      <c r="M22" s="14"/>
      <c r="N22" s="65">
        <v>45782</v>
      </c>
      <c r="O22" s="46" t="s">
        <v>97</v>
      </c>
      <c r="P22" s="49">
        <v>66.900000000000006</v>
      </c>
      <c r="Q22" s="65" t="s">
        <v>19</v>
      </c>
      <c r="R22" s="37" t="s">
        <v>51</v>
      </c>
      <c r="S22" s="14"/>
      <c r="T22" s="14"/>
      <c r="U22" s="14"/>
      <c r="V22" s="14"/>
      <c r="W22" s="14"/>
      <c r="X22" s="14"/>
      <c r="Y22" s="14"/>
      <c r="Z22" s="14"/>
    </row>
    <row r="23" spans="1:26" ht="15" customHeight="1" x14ac:dyDescent="0.35">
      <c r="A23" s="14"/>
      <c r="B23" s="39"/>
      <c r="C23" s="39"/>
      <c r="D23" s="44"/>
      <c r="E23" s="39"/>
      <c r="F23" s="39"/>
      <c r="G23" s="42"/>
      <c r="H23" s="39"/>
      <c r="I23" s="39"/>
      <c r="J23" s="44"/>
      <c r="K23" s="39"/>
      <c r="L23" s="39"/>
      <c r="M23" s="14"/>
      <c r="N23" s="65">
        <v>45782</v>
      </c>
      <c r="O23" s="46" t="s">
        <v>102</v>
      </c>
      <c r="P23" s="49">
        <v>59.99</v>
      </c>
      <c r="Q23" s="46" t="s">
        <v>19</v>
      </c>
      <c r="R23" s="37" t="s">
        <v>51</v>
      </c>
      <c r="S23" s="14"/>
      <c r="T23" s="14"/>
      <c r="U23" s="14"/>
      <c r="V23" s="14"/>
      <c r="W23" s="14"/>
      <c r="X23" s="14"/>
      <c r="Y23" s="14"/>
      <c r="Z23" s="14"/>
    </row>
    <row r="24" spans="1:26" ht="15" customHeight="1" x14ac:dyDescent="0.35">
      <c r="A24" s="14"/>
      <c r="B24" s="39"/>
      <c r="C24" s="39"/>
      <c r="D24" s="44"/>
      <c r="E24" s="39"/>
      <c r="F24" s="39"/>
      <c r="G24" s="42"/>
      <c r="H24" s="39"/>
      <c r="I24" s="39"/>
      <c r="J24" s="44"/>
      <c r="K24" s="39"/>
      <c r="L24" s="39"/>
      <c r="M24" s="14"/>
      <c r="N24" s="65">
        <v>45782</v>
      </c>
      <c r="O24" s="45" t="s">
        <v>103</v>
      </c>
      <c r="P24" s="50">
        <v>119.9</v>
      </c>
      <c r="Q24" s="37" t="s">
        <v>11</v>
      </c>
      <c r="R24" s="37" t="s">
        <v>51</v>
      </c>
      <c r="S24" s="14"/>
      <c r="T24" s="14"/>
      <c r="U24" s="14"/>
      <c r="V24" s="14"/>
      <c r="W24" s="14"/>
      <c r="X24" s="14"/>
      <c r="Y24" s="14"/>
      <c r="Z24" s="14"/>
    </row>
    <row r="25" spans="1:26" ht="15" customHeight="1" x14ac:dyDescent="0.35">
      <c r="A25" s="14"/>
      <c r="B25" s="39"/>
      <c r="C25" s="39"/>
      <c r="D25" s="44"/>
      <c r="E25" s="39"/>
      <c r="F25" s="39"/>
      <c r="G25" s="42"/>
      <c r="H25" s="39"/>
      <c r="I25" s="39"/>
      <c r="J25" s="44"/>
      <c r="K25" s="39"/>
      <c r="L25" s="39"/>
      <c r="M25" s="14"/>
      <c r="N25" s="65">
        <v>45782</v>
      </c>
      <c r="O25" s="45" t="s">
        <v>95</v>
      </c>
      <c r="P25" s="50">
        <v>50.08</v>
      </c>
      <c r="Q25" s="37" t="s">
        <v>11</v>
      </c>
      <c r="R25" s="37" t="s">
        <v>51</v>
      </c>
      <c r="S25" s="14"/>
      <c r="T25" s="14"/>
      <c r="U25" s="14"/>
      <c r="V25" s="14"/>
      <c r="W25" s="14"/>
      <c r="X25" s="14"/>
      <c r="Y25" s="14"/>
      <c r="Z25" s="14"/>
    </row>
    <row r="26" spans="1:26" ht="15" customHeight="1" x14ac:dyDescent="0.35">
      <c r="A26" s="14"/>
      <c r="B26" s="39"/>
      <c r="C26" s="39"/>
      <c r="D26" s="44"/>
      <c r="E26" s="39"/>
      <c r="F26" s="39"/>
      <c r="G26" s="42"/>
      <c r="H26" s="39"/>
      <c r="I26" s="39"/>
      <c r="J26" s="44"/>
      <c r="K26" s="39"/>
      <c r="L26" s="39"/>
      <c r="M26" s="14"/>
      <c r="N26" s="65">
        <v>45782</v>
      </c>
      <c r="O26" s="46" t="s">
        <v>104</v>
      </c>
      <c r="P26" s="49">
        <v>38.36</v>
      </c>
      <c r="Q26" s="37" t="s">
        <v>11</v>
      </c>
      <c r="R26" s="37" t="s">
        <v>51</v>
      </c>
      <c r="S26" s="14"/>
      <c r="T26" s="14"/>
      <c r="U26" s="14"/>
      <c r="V26" s="14"/>
      <c r="W26" s="14"/>
      <c r="X26" s="14"/>
      <c r="Y26" s="14"/>
      <c r="Z26" s="14"/>
    </row>
    <row r="27" spans="1:26" ht="15" customHeight="1" x14ac:dyDescent="0.35">
      <c r="A27" s="14"/>
      <c r="B27" s="39"/>
      <c r="C27" s="39"/>
      <c r="D27" s="44"/>
      <c r="E27" s="39"/>
      <c r="F27" s="39"/>
      <c r="G27" s="42"/>
      <c r="H27" s="39"/>
      <c r="I27" s="39"/>
      <c r="J27" s="44"/>
      <c r="K27" s="39"/>
      <c r="L27" s="39"/>
      <c r="M27" s="14"/>
      <c r="N27" s="65">
        <v>45782</v>
      </c>
      <c r="O27" s="46" t="s">
        <v>113</v>
      </c>
      <c r="P27" s="50">
        <v>89.9</v>
      </c>
      <c r="Q27" s="37" t="s">
        <v>75</v>
      </c>
      <c r="R27" s="37" t="s">
        <v>51</v>
      </c>
      <c r="S27" s="14"/>
      <c r="T27" s="14"/>
      <c r="U27" s="14"/>
      <c r="V27" s="14"/>
      <c r="W27" s="14"/>
      <c r="X27" s="14"/>
      <c r="Y27" s="14"/>
      <c r="Z27" s="14"/>
    </row>
    <row r="28" spans="1:26" ht="15" customHeight="1" x14ac:dyDescent="0.35">
      <c r="A28" s="14"/>
      <c r="B28" s="39"/>
      <c r="C28" s="39"/>
      <c r="D28" s="44"/>
      <c r="E28" s="39"/>
      <c r="F28" s="39"/>
      <c r="G28" s="42"/>
      <c r="H28" s="39"/>
      <c r="I28" s="39"/>
      <c r="J28" s="44"/>
      <c r="K28" s="39"/>
      <c r="L28" s="39"/>
      <c r="M28" s="14"/>
      <c r="N28" s="65">
        <v>45782</v>
      </c>
      <c r="O28" s="46" t="s">
        <v>99</v>
      </c>
      <c r="P28" s="50">
        <v>89.9</v>
      </c>
      <c r="Q28" s="37" t="s">
        <v>75</v>
      </c>
      <c r="R28" s="37" t="s">
        <v>51</v>
      </c>
      <c r="S28" s="14"/>
      <c r="T28" s="14"/>
      <c r="U28" s="14"/>
      <c r="V28" s="14"/>
      <c r="W28" s="14"/>
      <c r="X28" s="14"/>
      <c r="Y28" s="14"/>
      <c r="Z28" s="14"/>
    </row>
    <row r="29" spans="1:26" ht="15" customHeight="1" x14ac:dyDescent="0.35">
      <c r="A29" s="14"/>
      <c r="B29" s="39"/>
      <c r="C29" s="39"/>
      <c r="D29" s="44"/>
      <c r="E29" s="39"/>
      <c r="F29" s="39"/>
      <c r="G29" s="42"/>
      <c r="H29" s="39"/>
      <c r="I29" s="39"/>
      <c r="J29" s="44"/>
      <c r="K29" s="39"/>
      <c r="L29" s="39"/>
      <c r="M29" s="14"/>
      <c r="N29" s="65"/>
      <c r="O29" s="46"/>
      <c r="P29" s="49"/>
      <c r="Q29" s="46"/>
      <c r="R29" s="37"/>
      <c r="S29" s="14"/>
      <c r="T29" s="14"/>
      <c r="U29" s="14"/>
      <c r="V29" s="14"/>
      <c r="W29" s="14"/>
      <c r="X29" s="14"/>
      <c r="Y29" s="14"/>
      <c r="Z29" s="14"/>
    </row>
    <row r="30" spans="1:26" ht="15" customHeight="1" x14ac:dyDescent="0.35">
      <c r="A30" s="14"/>
      <c r="B30" s="39"/>
      <c r="C30" s="39"/>
      <c r="D30" s="44"/>
      <c r="E30" s="39"/>
      <c r="F30" s="39"/>
      <c r="G30" s="42"/>
      <c r="H30" s="39"/>
      <c r="I30" s="39"/>
      <c r="J30" s="44"/>
      <c r="K30" s="39"/>
      <c r="L30" s="39"/>
      <c r="M30" s="14"/>
      <c r="N30" s="65"/>
      <c r="O30" s="46"/>
      <c r="P30" s="49"/>
      <c r="Q30" s="46"/>
      <c r="R30" s="37"/>
      <c r="S30" s="14"/>
      <c r="T30" s="14"/>
      <c r="U30" s="14"/>
      <c r="V30" s="14"/>
      <c r="W30" s="14"/>
      <c r="X30" s="14"/>
      <c r="Y30" s="14"/>
      <c r="Z30" s="14"/>
    </row>
    <row r="31" spans="1:26" ht="15" customHeight="1" x14ac:dyDescent="0.35">
      <c r="A31" s="14"/>
      <c r="B31" s="39"/>
      <c r="C31" s="39"/>
      <c r="D31" s="44"/>
      <c r="E31" s="39"/>
      <c r="F31" s="39"/>
      <c r="G31" s="42"/>
      <c r="H31" s="39"/>
      <c r="I31" s="39"/>
      <c r="J31" s="44"/>
      <c r="K31" s="39"/>
      <c r="L31" s="39"/>
      <c r="M31" s="14"/>
      <c r="N31" s="37"/>
      <c r="O31" s="46"/>
      <c r="P31" s="49"/>
      <c r="Q31" s="46"/>
      <c r="R31" s="37"/>
      <c r="S31" s="14"/>
      <c r="T31" s="14"/>
      <c r="U31" s="14"/>
      <c r="V31" s="14"/>
      <c r="W31" s="14"/>
      <c r="X31" s="14"/>
      <c r="Y31" s="14"/>
      <c r="Z31" s="14"/>
    </row>
    <row r="32" spans="1:26" ht="15" customHeight="1" x14ac:dyDescent="0.35">
      <c r="A32" s="14"/>
      <c r="B32" s="39"/>
      <c r="C32" s="39"/>
      <c r="D32" s="44"/>
      <c r="E32" s="39"/>
      <c r="F32" s="39"/>
      <c r="G32" s="42"/>
      <c r="H32" s="39"/>
      <c r="I32" s="39"/>
      <c r="J32" s="44"/>
      <c r="K32" s="39"/>
      <c r="L32" s="39"/>
      <c r="M32" s="14"/>
      <c r="N32" s="37"/>
      <c r="O32" s="46"/>
      <c r="P32" s="49"/>
      <c r="Q32" s="46"/>
      <c r="R32" s="64"/>
      <c r="S32" s="14"/>
      <c r="T32" s="14"/>
      <c r="U32" s="14"/>
      <c r="V32" s="14"/>
      <c r="W32" s="14"/>
      <c r="X32" s="14"/>
      <c r="Y32" s="14"/>
      <c r="Z32" s="14"/>
    </row>
    <row r="33" spans="1:26" ht="15" customHeight="1" x14ac:dyDescent="0.35">
      <c r="A33" s="14"/>
      <c r="B33" s="39"/>
      <c r="C33" s="39"/>
      <c r="D33" s="44"/>
      <c r="E33" s="39"/>
      <c r="F33" s="39"/>
      <c r="G33" s="42"/>
      <c r="H33" s="39"/>
      <c r="I33" s="39"/>
      <c r="J33" s="44"/>
      <c r="K33" s="39"/>
      <c r="L33" s="39"/>
      <c r="M33" s="14"/>
      <c r="N33" s="37"/>
      <c r="O33" s="46"/>
      <c r="P33" s="49"/>
      <c r="Q33" s="46"/>
      <c r="R33" s="37"/>
      <c r="S33" s="14"/>
      <c r="T33" s="14"/>
      <c r="U33" s="14"/>
      <c r="V33" s="14"/>
      <c r="W33" s="14"/>
      <c r="X33" s="14"/>
      <c r="Y33" s="14"/>
      <c r="Z33" s="14"/>
    </row>
    <row r="34" spans="1:26" ht="15" customHeight="1" x14ac:dyDescent="0.35">
      <c r="A34" s="14"/>
      <c r="B34" s="39"/>
      <c r="C34" s="39"/>
      <c r="D34" s="44"/>
      <c r="E34" s="39"/>
      <c r="F34" s="39"/>
      <c r="G34" s="42"/>
      <c r="H34" s="39"/>
      <c r="I34" s="39"/>
      <c r="J34" s="44"/>
      <c r="K34" s="39"/>
      <c r="L34" s="39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x14ac:dyDescent="0.35">
      <c r="A35" s="14"/>
      <c r="B35" s="39"/>
      <c r="C35" s="39"/>
      <c r="D35" s="44"/>
      <c r="E35" s="39"/>
      <c r="F35" s="39"/>
      <c r="G35" s="42"/>
      <c r="H35" s="39"/>
      <c r="I35" s="39"/>
      <c r="J35" s="44"/>
      <c r="K35" s="39"/>
      <c r="L35" s="39"/>
      <c r="M35" s="14"/>
      <c r="N35" s="14"/>
      <c r="O35" s="38" t="s">
        <v>98</v>
      </c>
      <c r="P35" s="47">
        <f>SUMIF(F6:F35, "Crédito", D6:D35) + SUMIF(L6:L35, "Crédito", J6:J35) + SUMIF(R16:R33, "Crédito", P16:P33)</f>
        <v>555.93000000000006</v>
      </c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x14ac:dyDescent="0.3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x14ac:dyDescent="0.35">
      <c r="D37"/>
    </row>
    <row r="38" spans="1:26" x14ac:dyDescent="0.35">
      <c r="D38"/>
    </row>
    <row r="39" spans="1:26" x14ac:dyDescent="0.35">
      <c r="D39"/>
    </row>
    <row r="40" spans="1:26" x14ac:dyDescent="0.35">
      <c r="D40"/>
    </row>
    <row r="41" spans="1:26" x14ac:dyDescent="0.35">
      <c r="D41"/>
    </row>
    <row r="42" spans="1:26" x14ac:dyDescent="0.35">
      <c r="D42"/>
    </row>
    <row r="43" spans="1:26" x14ac:dyDescent="0.35">
      <c r="D43"/>
    </row>
    <row r="44" spans="1:26" x14ac:dyDescent="0.35">
      <c r="D44"/>
    </row>
  </sheetData>
  <mergeCells count="6">
    <mergeCell ref="N20:R20"/>
    <mergeCell ref="B2:L2"/>
    <mergeCell ref="B3:L3"/>
    <mergeCell ref="B4:F4"/>
    <mergeCell ref="H4:L4"/>
    <mergeCell ref="N14:R14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6ACB13F-8176-4EC1-9CBA-EF4CB9CDF0ED}">
          <x14:formula1>
            <xm:f>'Planilha apoio'!$A$2:$A$13</xm:f>
          </x14:formula1>
          <xm:sqref>E44:F1048576</xm:sqref>
        </x14:dataValidation>
        <x14:dataValidation type="list" allowBlank="1" showInputMessage="1" showErrorMessage="1" xr:uid="{7A4785F8-C81F-4088-A1BE-015CE01268FB}">
          <x14:formula1>
            <xm:f>'Planilha apoio'!#REF!</xm:f>
          </x14:formula1>
          <xm:sqref>G44:G1048576 M16</xm:sqref>
        </x14:dataValidation>
        <x14:dataValidation type="list" allowBlank="1" showInputMessage="1" showErrorMessage="1" xr:uid="{1ACE3D6C-1EA5-4369-868E-F693F34EFD74}">
          <x14:formula1>
            <xm:f>'Planilha apoio'!$B$3:$B$8</xm:f>
          </x14:formula1>
          <xm:sqref>L6:L35 F6:F35</xm:sqref>
        </x14:dataValidation>
        <x14:dataValidation type="list" allowBlank="1" showInputMessage="1" showErrorMessage="1" xr:uid="{6B6F7A41-46FF-498D-885B-BEBE5C73A535}">
          <x14:formula1>
            <xm:f>'Planilha apoio'!$B$2:$B$8</xm:f>
          </x14:formula1>
          <xm:sqref>R16:R19</xm:sqref>
        </x14:dataValidation>
        <x14:dataValidation type="list" allowBlank="1" showInputMessage="1" showErrorMessage="1" xr:uid="{C0CE64A7-FBDD-47AE-B82C-EAF31E6FF0B9}">
          <x14:formula1>
            <xm:f>'Planilha apoio'!$A$2:$A$42</xm:f>
          </x14:formula1>
          <xm:sqref>Q16:Q19 R34:R35 E6:E35 K6:K35 Q34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35C62-C294-4F79-BB96-234C0FFC5400}">
  <dimension ref="A1:Z44"/>
  <sheetViews>
    <sheetView zoomScaleNormal="100" workbookViewId="0">
      <selection activeCell="O27" sqref="O27"/>
    </sheetView>
  </sheetViews>
  <sheetFormatPr defaultRowHeight="14.5" x14ac:dyDescent="0.35"/>
  <cols>
    <col min="1" max="1" width="1.36328125" customWidth="1"/>
    <col min="2" max="2" width="7.1796875" bestFit="1" customWidth="1"/>
    <col min="3" max="3" width="19.54296875" bestFit="1" customWidth="1"/>
    <col min="4" max="4" width="10.54296875" style="1" bestFit="1" customWidth="1"/>
    <col min="5" max="5" width="11.26953125" bestFit="1" customWidth="1"/>
    <col min="6" max="6" width="11.26953125" customWidth="1"/>
    <col min="7" max="7" width="2.54296875" customWidth="1"/>
    <col min="8" max="8" width="7.1796875" bestFit="1" customWidth="1"/>
    <col min="9" max="9" width="19.54296875" bestFit="1" customWidth="1"/>
    <col min="10" max="10" width="10.54296875" bestFit="1" customWidth="1"/>
    <col min="11" max="11" width="11.26953125" bestFit="1" customWidth="1"/>
    <col min="12" max="12" width="11.26953125" customWidth="1"/>
    <col min="13" max="13" width="2.7265625" customWidth="1"/>
    <col min="14" max="14" width="9.54296875" bestFit="1" customWidth="1"/>
    <col min="15" max="15" width="18.36328125" customWidth="1"/>
    <col min="16" max="16" width="11.6328125" customWidth="1"/>
    <col min="17" max="17" width="11.6328125" bestFit="1" customWidth="1"/>
    <col min="18" max="18" width="11.6328125" customWidth="1"/>
    <col min="19" max="19" width="12.1796875" bestFit="1" customWidth="1"/>
    <col min="21" max="21" width="3.7265625" customWidth="1"/>
  </cols>
  <sheetData>
    <row r="1" spans="1:26" ht="7" customHeight="1" thickBot="1" x14ac:dyDescent="0.4">
      <c r="A1" s="14"/>
      <c r="B1" s="14"/>
      <c r="C1" s="14"/>
      <c r="D1" s="15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x14ac:dyDescent="0.35">
      <c r="A2" s="14"/>
      <c r="B2" s="79">
        <v>46143</v>
      </c>
      <c r="C2" s="80"/>
      <c r="D2" s="80"/>
      <c r="E2" s="80"/>
      <c r="F2" s="80"/>
      <c r="G2" s="80"/>
      <c r="H2" s="80"/>
      <c r="I2" s="80"/>
      <c r="J2" s="80"/>
      <c r="K2" s="80"/>
      <c r="L2" s="81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5" thickBot="1" x14ac:dyDescent="0.4">
      <c r="A3" s="14"/>
      <c r="B3" s="82" t="s">
        <v>81</v>
      </c>
      <c r="C3" s="83"/>
      <c r="D3" s="83"/>
      <c r="E3" s="83"/>
      <c r="F3" s="83"/>
      <c r="G3" s="84"/>
      <c r="H3" s="83"/>
      <c r="I3" s="83"/>
      <c r="J3" s="83"/>
      <c r="K3" s="83"/>
      <c r="L3" s="85"/>
      <c r="M3" s="35"/>
      <c r="N3" s="41" t="s">
        <v>82</v>
      </c>
      <c r="O3" s="8" t="s">
        <v>83</v>
      </c>
      <c r="P3" s="8" t="s">
        <v>84</v>
      </c>
      <c r="Q3" s="8" t="s">
        <v>85</v>
      </c>
      <c r="R3" s="14"/>
      <c r="S3" s="14"/>
      <c r="T3" s="14"/>
      <c r="U3" s="14"/>
      <c r="V3" s="14"/>
      <c r="W3" s="14"/>
      <c r="X3" s="14"/>
      <c r="Y3" s="14"/>
      <c r="Z3" s="14"/>
    </row>
    <row r="4" spans="1:26" ht="15" thickBot="1" x14ac:dyDescent="0.4">
      <c r="A4" s="14"/>
      <c r="B4" s="86" t="s">
        <v>86</v>
      </c>
      <c r="C4" s="87"/>
      <c r="D4" s="87"/>
      <c r="E4" s="87"/>
      <c r="F4" s="88"/>
      <c r="G4" s="14"/>
      <c r="H4" s="89" t="s">
        <v>87</v>
      </c>
      <c r="I4" s="90"/>
      <c r="J4" s="90"/>
      <c r="K4" s="90"/>
      <c r="L4" s="91"/>
      <c r="M4" s="35"/>
      <c r="N4" s="41" t="s">
        <v>88</v>
      </c>
      <c r="O4" s="40">
        <v>3000</v>
      </c>
      <c r="Q4" s="6">
        <f>SUM(O4+P4)</f>
        <v>3000</v>
      </c>
      <c r="R4" s="14"/>
      <c r="S4" s="14"/>
      <c r="T4" s="14"/>
      <c r="U4" s="14"/>
      <c r="V4" s="14"/>
      <c r="W4" s="14"/>
      <c r="X4" s="14"/>
      <c r="Y4" s="14"/>
      <c r="Z4" s="14"/>
    </row>
    <row r="5" spans="1:26" ht="15" customHeight="1" x14ac:dyDescent="0.35">
      <c r="A5" s="35"/>
      <c r="B5" s="52" t="s">
        <v>4</v>
      </c>
      <c r="C5" s="52" t="s">
        <v>5</v>
      </c>
      <c r="D5" s="53" t="s">
        <v>6</v>
      </c>
      <c r="E5" s="52" t="s">
        <v>7</v>
      </c>
      <c r="F5" s="52" t="s">
        <v>106</v>
      </c>
      <c r="G5" s="14"/>
      <c r="H5" s="52" t="s">
        <v>4</v>
      </c>
      <c r="I5" s="52" t="s">
        <v>5</v>
      </c>
      <c r="J5" s="53" t="s">
        <v>6</v>
      </c>
      <c r="K5" s="52" t="s">
        <v>7</v>
      </c>
      <c r="L5" s="52" t="s">
        <v>106</v>
      </c>
      <c r="M5" s="14"/>
      <c r="N5" s="41" t="s">
        <v>89</v>
      </c>
      <c r="O5" s="40">
        <v>2000</v>
      </c>
      <c r="P5" s="6"/>
      <c r="Q5" s="6">
        <f>SUM(O5+P5)</f>
        <v>2000</v>
      </c>
      <c r="R5" s="14"/>
      <c r="S5" s="14"/>
      <c r="T5" s="14"/>
      <c r="U5" s="14"/>
      <c r="V5" s="14"/>
      <c r="W5" s="14"/>
      <c r="X5" s="14"/>
      <c r="Y5" s="14"/>
      <c r="Z5" s="14"/>
    </row>
    <row r="6" spans="1:26" ht="15" customHeight="1" x14ac:dyDescent="0.35">
      <c r="A6" s="35"/>
      <c r="B6" s="37"/>
      <c r="C6" s="39"/>
      <c r="D6" s="44"/>
      <c r="E6" s="39"/>
      <c r="F6" s="39"/>
      <c r="G6" s="42"/>
      <c r="H6" s="37"/>
      <c r="I6" s="39"/>
      <c r="J6" s="44"/>
      <c r="K6" s="39"/>
      <c r="L6" s="39"/>
      <c r="M6" s="35"/>
      <c r="N6" s="41" t="s">
        <v>101</v>
      </c>
      <c r="O6" s="40">
        <v>1012</v>
      </c>
      <c r="P6" s="41" t="s">
        <v>85</v>
      </c>
      <c r="Q6" s="6">
        <f>SUM(Q4:Q5)</f>
        <v>5000</v>
      </c>
      <c r="R6" s="14"/>
      <c r="S6" s="14"/>
      <c r="T6" s="14"/>
      <c r="U6" s="14"/>
      <c r="V6" s="14"/>
      <c r="W6" s="14"/>
      <c r="X6" s="14"/>
      <c r="Y6" s="14"/>
      <c r="Z6" s="14"/>
    </row>
    <row r="7" spans="1:26" ht="15" customHeight="1" x14ac:dyDescent="0.35">
      <c r="A7" s="35"/>
      <c r="B7" s="37"/>
      <c r="C7" s="39"/>
      <c r="D7" s="44"/>
      <c r="E7" s="39"/>
      <c r="F7" s="39"/>
      <c r="G7" s="42"/>
      <c r="H7" s="37"/>
      <c r="I7" s="39"/>
      <c r="J7" s="44"/>
      <c r="K7" s="39"/>
      <c r="L7" s="39"/>
      <c r="M7" s="35"/>
      <c r="N7" s="14"/>
      <c r="O7" s="14"/>
      <c r="P7" s="41" t="s">
        <v>90</v>
      </c>
      <c r="Q7" s="6">
        <f>SUM(Q6+O6)</f>
        <v>6012</v>
      </c>
      <c r="R7" s="14"/>
      <c r="S7" s="14"/>
      <c r="T7" s="14"/>
      <c r="U7" s="14"/>
      <c r="V7" s="14"/>
      <c r="W7" s="14"/>
      <c r="X7" s="14"/>
      <c r="Y7" s="14"/>
      <c r="Z7" s="14"/>
    </row>
    <row r="8" spans="1:26" ht="15" customHeight="1" x14ac:dyDescent="0.35">
      <c r="A8" s="35"/>
      <c r="B8" s="37"/>
      <c r="C8" s="39"/>
      <c r="D8" s="44"/>
      <c r="E8" s="39"/>
      <c r="F8" s="39"/>
      <c r="G8" s="42"/>
      <c r="H8" s="37"/>
      <c r="I8" s="39"/>
      <c r="J8" s="44"/>
      <c r="K8" s="39"/>
      <c r="L8" s="39"/>
      <c r="M8" s="35"/>
      <c r="N8" s="42"/>
      <c r="O8" s="15"/>
      <c r="P8" s="15"/>
      <c r="Q8" s="15"/>
      <c r="R8" s="15"/>
      <c r="S8" s="14"/>
      <c r="T8" s="14"/>
      <c r="U8" s="14"/>
      <c r="V8" s="14"/>
      <c r="W8" s="14"/>
      <c r="X8" s="14"/>
      <c r="Y8" s="14"/>
      <c r="Z8" s="14"/>
    </row>
    <row r="9" spans="1:26" ht="15" customHeight="1" thickBot="1" x14ac:dyDescent="0.4">
      <c r="A9" s="35"/>
      <c r="B9" s="39"/>
      <c r="C9" s="39"/>
      <c r="D9" s="44"/>
      <c r="E9" s="39"/>
      <c r="F9" s="39"/>
      <c r="G9" s="42"/>
      <c r="H9" s="39"/>
      <c r="I9" s="56"/>
      <c r="J9" s="44"/>
      <c r="K9" s="39"/>
      <c r="L9" s="39"/>
      <c r="M9" s="35"/>
      <c r="N9" s="43" t="s">
        <v>91</v>
      </c>
      <c r="O9" s="24">
        <v>1000</v>
      </c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15" customHeight="1" thickBot="1" x14ac:dyDescent="0.4">
      <c r="A10" s="35"/>
      <c r="B10" s="39"/>
      <c r="C10" s="39"/>
      <c r="D10" s="44"/>
      <c r="E10" s="39"/>
      <c r="F10" s="39"/>
      <c r="G10" s="42"/>
      <c r="H10" s="54"/>
      <c r="I10" s="58"/>
      <c r="J10" s="55"/>
      <c r="K10" s="39"/>
      <c r="L10" s="39"/>
      <c r="M10" s="35"/>
      <c r="N10" s="43" t="s">
        <v>92</v>
      </c>
      <c r="O10" s="6">
        <f>SUM(P16:P19) + SUM(P21:P33)</f>
        <v>2325.0100000000002</v>
      </c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15" customHeight="1" x14ac:dyDescent="0.35">
      <c r="A11" s="35"/>
      <c r="B11" s="39"/>
      <c r="C11" s="39"/>
      <c r="D11" s="44"/>
      <c r="E11" s="39"/>
      <c r="F11" s="39"/>
      <c r="G11" s="42"/>
      <c r="H11" s="39"/>
      <c r="I11" s="57"/>
      <c r="J11" s="44"/>
      <c r="K11" s="39"/>
      <c r="L11" s="39"/>
      <c r="M11" s="35"/>
      <c r="N11" s="43" t="s">
        <v>93</v>
      </c>
      <c r="O11" s="6" cm="1">
        <f t="array" ref="O11">SUM(D6:D35+J6:J35)</f>
        <v>0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15" customHeight="1" x14ac:dyDescent="0.35">
      <c r="A12" s="35"/>
      <c r="B12" s="39"/>
      <c r="C12" s="39"/>
      <c r="D12" s="44"/>
      <c r="E12" s="39"/>
      <c r="F12" s="39"/>
      <c r="G12" s="42"/>
      <c r="H12" s="39"/>
      <c r="I12" s="39"/>
      <c r="J12" s="44"/>
      <c r="K12" s="39"/>
      <c r="L12" s="39"/>
      <c r="M12" s="35"/>
      <c r="N12" s="43" t="s">
        <v>24</v>
      </c>
      <c r="O12" s="6">
        <f>SUM(O9:O11)</f>
        <v>3325.01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15" customHeight="1" thickBot="1" x14ac:dyDescent="0.4">
      <c r="A13" s="35"/>
      <c r="B13" s="39"/>
      <c r="C13" s="39"/>
      <c r="D13" s="44"/>
      <c r="E13" s="39"/>
      <c r="F13" s="39"/>
      <c r="G13" s="42"/>
      <c r="H13" s="39"/>
      <c r="I13" s="39"/>
      <c r="J13" s="44"/>
      <c r="K13" s="39"/>
      <c r="L13" s="39"/>
      <c r="M13" s="35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15" customHeight="1" thickBot="1" x14ac:dyDescent="0.4">
      <c r="A14" s="35"/>
      <c r="B14" s="37"/>
      <c r="C14" s="39"/>
      <c r="D14" s="44"/>
      <c r="E14" s="39"/>
      <c r="F14" s="39"/>
      <c r="G14" s="42"/>
      <c r="H14" s="37"/>
      <c r="I14" s="39"/>
      <c r="J14" s="44"/>
      <c r="K14" s="39"/>
      <c r="L14" s="39"/>
      <c r="M14" s="35"/>
      <c r="N14" s="76" t="s">
        <v>94</v>
      </c>
      <c r="O14" s="77"/>
      <c r="P14" s="77"/>
      <c r="Q14" s="77"/>
      <c r="R14" s="78"/>
      <c r="S14" s="14"/>
      <c r="T14" s="14"/>
      <c r="U14" s="14"/>
      <c r="V14" s="14"/>
      <c r="W14" s="14"/>
      <c r="X14" s="14"/>
      <c r="Y14" s="14"/>
      <c r="Z14" s="14"/>
    </row>
    <row r="15" spans="1:26" ht="15" customHeight="1" x14ac:dyDescent="0.35">
      <c r="A15" s="35"/>
      <c r="B15" s="37"/>
      <c r="C15" s="39"/>
      <c r="D15" s="44"/>
      <c r="E15" s="39"/>
      <c r="F15" s="39"/>
      <c r="G15" s="42"/>
      <c r="H15" s="37"/>
      <c r="I15" s="39"/>
      <c r="J15" s="44"/>
      <c r="K15" s="39"/>
      <c r="L15" s="39"/>
      <c r="M15" s="35"/>
      <c r="N15" s="59" t="s">
        <v>4</v>
      </c>
      <c r="O15" s="60" t="s">
        <v>5</v>
      </c>
      <c r="P15" s="61" t="s">
        <v>6</v>
      </c>
      <c r="Q15" s="59" t="s">
        <v>7</v>
      </c>
      <c r="R15" s="59" t="s">
        <v>106</v>
      </c>
      <c r="S15" s="14"/>
      <c r="T15" s="14"/>
      <c r="U15" s="14"/>
      <c r="V15" s="14"/>
      <c r="W15" s="14"/>
      <c r="X15" s="14"/>
      <c r="Y15" s="14"/>
      <c r="Z15" s="14"/>
    </row>
    <row r="16" spans="1:26" ht="15" customHeight="1" x14ac:dyDescent="0.35">
      <c r="A16" s="14"/>
      <c r="B16" s="39"/>
      <c r="C16" s="39"/>
      <c r="D16" s="44"/>
      <c r="E16" s="39"/>
      <c r="F16" s="39"/>
      <c r="G16" s="42"/>
      <c r="H16" s="39"/>
      <c r="I16" s="39"/>
      <c r="J16" s="44"/>
      <c r="K16" s="39"/>
      <c r="L16" s="39"/>
      <c r="M16" s="14"/>
      <c r="N16" s="65">
        <v>45782</v>
      </c>
      <c r="O16" s="45" t="s">
        <v>22</v>
      </c>
      <c r="P16" s="50">
        <v>850</v>
      </c>
      <c r="Q16" s="37" t="s">
        <v>22</v>
      </c>
      <c r="R16" s="37" t="s">
        <v>72</v>
      </c>
      <c r="S16" s="14"/>
      <c r="T16" s="14"/>
      <c r="U16" s="14"/>
      <c r="V16" s="14"/>
      <c r="W16" s="14"/>
      <c r="X16" s="14"/>
      <c r="Y16" s="14"/>
      <c r="Z16" s="14"/>
    </row>
    <row r="17" spans="1:26" ht="15" customHeight="1" x14ac:dyDescent="0.35">
      <c r="A17" s="14"/>
      <c r="B17" s="39"/>
      <c r="C17" s="39"/>
      <c r="D17" s="44"/>
      <c r="E17" s="39"/>
      <c r="F17" s="39"/>
      <c r="G17" s="42"/>
      <c r="H17" s="39"/>
      <c r="I17" s="39"/>
      <c r="J17" s="44"/>
      <c r="K17" s="39"/>
      <c r="L17" s="39"/>
      <c r="M17" s="35"/>
      <c r="N17" s="65">
        <v>45782</v>
      </c>
      <c r="O17" s="45" t="s">
        <v>25</v>
      </c>
      <c r="P17" s="50">
        <v>220</v>
      </c>
      <c r="Q17" s="37" t="s">
        <v>25</v>
      </c>
      <c r="R17" s="37" t="s">
        <v>72</v>
      </c>
      <c r="S17" s="14"/>
      <c r="T17" s="14"/>
      <c r="U17" s="14"/>
      <c r="V17" s="14"/>
      <c r="W17" s="14"/>
      <c r="X17" s="14"/>
      <c r="Y17" s="14"/>
      <c r="Z17" s="14"/>
    </row>
    <row r="18" spans="1:26" ht="15" customHeight="1" x14ac:dyDescent="0.35">
      <c r="A18" s="36"/>
      <c r="B18" s="39"/>
      <c r="C18" s="39"/>
      <c r="D18" s="44"/>
      <c r="E18" s="39"/>
      <c r="F18" s="39"/>
      <c r="G18" s="42"/>
      <c r="H18" s="39"/>
      <c r="I18" s="39"/>
      <c r="J18" s="44"/>
      <c r="K18" s="39"/>
      <c r="L18" s="39"/>
      <c r="M18" s="35"/>
      <c r="N18" s="65">
        <v>45782</v>
      </c>
      <c r="O18" s="46" t="s">
        <v>96</v>
      </c>
      <c r="P18" s="50">
        <f>SUM('jan-26'!P35)</f>
        <v>555.93000000000006</v>
      </c>
      <c r="Q18" s="48" t="s">
        <v>60</v>
      </c>
      <c r="R18" s="48" t="s">
        <v>72</v>
      </c>
      <c r="S18" s="14"/>
      <c r="T18" s="14"/>
      <c r="U18" s="14"/>
      <c r="V18" s="14"/>
      <c r="W18" s="14"/>
      <c r="X18" s="14"/>
      <c r="Y18" s="14"/>
      <c r="Z18" s="14"/>
    </row>
    <row r="19" spans="1:26" ht="15" customHeight="1" thickBot="1" x14ac:dyDescent="0.4">
      <c r="A19" s="36"/>
      <c r="B19" s="39"/>
      <c r="C19" s="39"/>
      <c r="D19" s="44"/>
      <c r="E19" s="39"/>
      <c r="F19" s="39"/>
      <c r="G19" s="42"/>
      <c r="H19" s="39"/>
      <c r="I19" s="39"/>
      <c r="J19" s="44"/>
      <c r="K19" s="39"/>
      <c r="L19" s="39"/>
      <c r="M19" s="14"/>
      <c r="N19" s="65">
        <v>45782</v>
      </c>
      <c r="O19" s="62" t="s">
        <v>100</v>
      </c>
      <c r="P19" s="63">
        <v>143.15</v>
      </c>
      <c r="Q19" s="64" t="s">
        <v>59</v>
      </c>
      <c r="R19" s="64" t="s">
        <v>108</v>
      </c>
      <c r="S19" s="14"/>
      <c r="T19" s="14"/>
      <c r="U19" s="14"/>
      <c r="V19" s="14"/>
      <c r="W19" s="14"/>
      <c r="X19" s="14"/>
      <c r="Y19" s="14"/>
      <c r="Z19" s="14"/>
    </row>
    <row r="20" spans="1:26" ht="15" customHeight="1" thickBot="1" x14ac:dyDescent="0.4">
      <c r="A20" s="14"/>
      <c r="B20" s="39"/>
      <c r="C20" s="39"/>
      <c r="D20" s="44"/>
      <c r="E20" s="39"/>
      <c r="F20" s="39"/>
      <c r="G20" s="42"/>
      <c r="H20" s="39"/>
      <c r="I20" s="39"/>
      <c r="J20" s="44"/>
      <c r="K20" s="39"/>
      <c r="L20" s="39"/>
      <c r="M20" s="14"/>
      <c r="N20" s="76" t="s">
        <v>105</v>
      </c>
      <c r="O20" s="77"/>
      <c r="P20" s="77"/>
      <c r="Q20" s="77"/>
      <c r="R20" s="78"/>
      <c r="S20" s="14"/>
      <c r="T20" s="14"/>
      <c r="U20" s="14"/>
      <c r="V20" s="14"/>
      <c r="W20" s="14"/>
      <c r="X20" s="14"/>
      <c r="Y20" s="14"/>
      <c r="Z20" s="14"/>
    </row>
    <row r="21" spans="1:26" ht="15" customHeight="1" x14ac:dyDescent="0.35">
      <c r="A21" s="14"/>
      <c r="B21" s="39"/>
      <c r="C21" s="39"/>
      <c r="D21" s="44"/>
      <c r="E21" s="39"/>
      <c r="F21" s="39"/>
      <c r="G21" s="42"/>
      <c r="H21" s="39"/>
      <c r="I21" s="39"/>
      <c r="J21" s="44"/>
      <c r="K21" s="39"/>
      <c r="L21" s="39"/>
      <c r="M21" s="14"/>
      <c r="N21" s="65">
        <v>45813</v>
      </c>
      <c r="O21" s="66" t="s">
        <v>18</v>
      </c>
      <c r="P21" s="67">
        <v>40.9</v>
      </c>
      <c r="Q21" s="65" t="s">
        <v>19</v>
      </c>
      <c r="R21" s="37" t="s">
        <v>51</v>
      </c>
      <c r="S21" s="14"/>
      <c r="T21" s="14"/>
      <c r="U21" s="14"/>
      <c r="V21" s="14"/>
      <c r="W21" s="14"/>
      <c r="X21" s="14"/>
      <c r="Y21" s="14"/>
      <c r="Z21" s="14"/>
    </row>
    <row r="22" spans="1:26" ht="15" customHeight="1" x14ac:dyDescent="0.35">
      <c r="A22" s="14"/>
      <c r="B22" s="39"/>
      <c r="C22" s="39"/>
      <c r="D22" s="44"/>
      <c r="E22" s="39"/>
      <c r="F22" s="39"/>
      <c r="G22" s="42"/>
      <c r="H22" s="39"/>
      <c r="I22" s="39"/>
      <c r="J22" s="44"/>
      <c r="K22" s="39"/>
      <c r="L22" s="39"/>
      <c r="M22" s="14"/>
      <c r="N22" s="65">
        <v>45813</v>
      </c>
      <c r="O22" s="46" t="s">
        <v>97</v>
      </c>
      <c r="P22" s="49">
        <v>66.900000000000006</v>
      </c>
      <c r="Q22" s="65" t="s">
        <v>19</v>
      </c>
      <c r="R22" s="37" t="s">
        <v>51</v>
      </c>
      <c r="S22" s="14"/>
      <c r="T22" s="14"/>
      <c r="U22" s="14"/>
      <c r="V22" s="14"/>
      <c r="W22" s="14"/>
      <c r="X22" s="14"/>
      <c r="Y22" s="14"/>
      <c r="Z22" s="14"/>
    </row>
    <row r="23" spans="1:26" ht="15" customHeight="1" x14ac:dyDescent="0.35">
      <c r="A23" s="14"/>
      <c r="B23" s="39"/>
      <c r="C23" s="39"/>
      <c r="D23" s="44"/>
      <c r="E23" s="39"/>
      <c r="F23" s="39"/>
      <c r="G23" s="42"/>
      <c r="H23" s="39"/>
      <c r="I23" s="39"/>
      <c r="J23" s="44"/>
      <c r="K23" s="39"/>
      <c r="L23" s="39"/>
      <c r="M23" s="14"/>
      <c r="N23" s="65">
        <v>45813</v>
      </c>
      <c r="O23" s="46" t="s">
        <v>102</v>
      </c>
      <c r="P23" s="49">
        <v>59.99</v>
      </c>
      <c r="Q23" s="46" t="s">
        <v>19</v>
      </c>
      <c r="R23" s="37" t="s">
        <v>51</v>
      </c>
      <c r="S23" s="14"/>
      <c r="T23" s="14"/>
      <c r="U23" s="14"/>
      <c r="V23" s="14"/>
      <c r="W23" s="14"/>
      <c r="X23" s="14"/>
      <c r="Y23" s="14"/>
      <c r="Z23" s="14"/>
    </row>
    <row r="24" spans="1:26" ht="15" customHeight="1" x14ac:dyDescent="0.35">
      <c r="A24" s="14"/>
      <c r="B24" s="39"/>
      <c r="C24" s="39"/>
      <c r="D24" s="44"/>
      <c r="E24" s="39"/>
      <c r="F24" s="39"/>
      <c r="G24" s="42"/>
      <c r="H24" s="39"/>
      <c r="I24" s="39"/>
      <c r="J24" s="44"/>
      <c r="K24" s="39"/>
      <c r="L24" s="39"/>
      <c r="M24" s="14"/>
      <c r="N24" s="65">
        <v>45813</v>
      </c>
      <c r="O24" s="45" t="s">
        <v>103</v>
      </c>
      <c r="P24" s="50">
        <v>119.9</v>
      </c>
      <c r="Q24" s="37" t="s">
        <v>11</v>
      </c>
      <c r="R24" s="37" t="s">
        <v>51</v>
      </c>
      <c r="S24" s="14"/>
      <c r="T24" s="14"/>
      <c r="U24" s="14"/>
      <c r="V24" s="14"/>
      <c r="W24" s="14"/>
      <c r="X24" s="14"/>
      <c r="Y24" s="14"/>
      <c r="Z24" s="14"/>
    </row>
    <row r="25" spans="1:26" ht="15" customHeight="1" x14ac:dyDescent="0.35">
      <c r="A25" s="14"/>
      <c r="B25" s="39"/>
      <c r="C25" s="39"/>
      <c r="D25" s="44"/>
      <c r="E25" s="39"/>
      <c r="F25" s="39"/>
      <c r="G25" s="42"/>
      <c r="H25" s="39"/>
      <c r="I25" s="39"/>
      <c r="J25" s="44"/>
      <c r="K25" s="39"/>
      <c r="L25" s="39"/>
      <c r="M25" s="14"/>
      <c r="N25" s="65">
        <v>45813</v>
      </c>
      <c r="O25" s="45" t="s">
        <v>95</v>
      </c>
      <c r="P25" s="50">
        <v>50.08</v>
      </c>
      <c r="Q25" s="37" t="s">
        <v>11</v>
      </c>
      <c r="R25" s="37" t="s">
        <v>51</v>
      </c>
      <c r="S25" s="14"/>
      <c r="T25" s="14"/>
      <c r="U25" s="14"/>
      <c r="V25" s="14"/>
      <c r="W25" s="14"/>
      <c r="X25" s="14"/>
      <c r="Y25" s="14"/>
      <c r="Z25" s="14"/>
    </row>
    <row r="26" spans="1:26" ht="15" customHeight="1" x14ac:dyDescent="0.35">
      <c r="A26" s="14"/>
      <c r="B26" s="39"/>
      <c r="C26" s="39"/>
      <c r="D26" s="44"/>
      <c r="E26" s="39"/>
      <c r="F26" s="39"/>
      <c r="G26" s="42"/>
      <c r="H26" s="39"/>
      <c r="I26" s="39"/>
      <c r="J26" s="44"/>
      <c r="K26" s="39"/>
      <c r="L26" s="39"/>
      <c r="M26" s="14"/>
      <c r="N26" s="65">
        <v>45813</v>
      </c>
      <c r="O26" s="46" t="s">
        <v>104</v>
      </c>
      <c r="P26" s="49">
        <v>38.36</v>
      </c>
      <c r="Q26" s="37" t="s">
        <v>11</v>
      </c>
      <c r="R26" s="37" t="s">
        <v>51</v>
      </c>
      <c r="S26" s="14"/>
      <c r="T26" s="14"/>
      <c r="U26" s="14"/>
      <c r="V26" s="14"/>
      <c r="W26" s="14"/>
      <c r="X26" s="14"/>
      <c r="Y26" s="14"/>
      <c r="Z26" s="14"/>
    </row>
    <row r="27" spans="1:26" ht="15" customHeight="1" x14ac:dyDescent="0.35">
      <c r="A27" s="14"/>
      <c r="B27" s="39"/>
      <c r="C27" s="39"/>
      <c r="D27" s="44"/>
      <c r="E27" s="39"/>
      <c r="F27" s="39"/>
      <c r="G27" s="42"/>
      <c r="H27" s="39"/>
      <c r="I27" s="39"/>
      <c r="J27" s="44"/>
      <c r="K27" s="39"/>
      <c r="L27" s="39"/>
      <c r="M27" s="14"/>
      <c r="N27" s="65">
        <v>45813</v>
      </c>
      <c r="O27" s="46" t="s">
        <v>114</v>
      </c>
      <c r="P27" s="50">
        <v>89.9</v>
      </c>
      <c r="Q27" s="37" t="s">
        <v>75</v>
      </c>
      <c r="R27" s="37" t="s">
        <v>51</v>
      </c>
      <c r="S27" s="14"/>
      <c r="T27" s="14"/>
      <c r="U27" s="14"/>
      <c r="V27" s="14"/>
      <c r="W27" s="14"/>
      <c r="X27" s="14"/>
      <c r="Y27" s="14"/>
      <c r="Z27" s="14"/>
    </row>
    <row r="28" spans="1:26" ht="15" customHeight="1" x14ac:dyDescent="0.35">
      <c r="A28" s="14"/>
      <c r="B28" s="39"/>
      <c r="C28" s="39"/>
      <c r="D28" s="44"/>
      <c r="E28" s="39"/>
      <c r="F28" s="39"/>
      <c r="G28" s="42"/>
      <c r="H28" s="39"/>
      <c r="I28" s="39"/>
      <c r="J28" s="44"/>
      <c r="K28" s="39"/>
      <c r="L28" s="39"/>
      <c r="M28" s="14"/>
      <c r="N28" s="65">
        <v>45813</v>
      </c>
      <c r="O28" s="46" t="s">
        <v>99</v>
      </c>
      <c r="P28" s="50">
        <v>89.9</v>
      </c>
      <c r="Q28" s="37" t="s">
        <v>75</v>
      </c>
      <c r="R28" s="37" t="s">
        <v>51</v>
      </c>
      <c r="S28" s="14"/>
      <c r="T28" s="14"/>
      <c r="U28" s="14"/>
      <c r="V28" s="14"/>
      <c r="W28" s="14"/>
      <c r="X28" s="14"/>
      <c r="Y28" s="14"/>
      <c r="Z28" s="14"/>
    </row>
    <row r="29" spans="1:26" ht="15" customHeight="1" x14ac:dyDescent="0.35">
      <c r="A29" s="14"/>
      <c r="B29" s="39"/>
      <c r="C29" s="39"/>
      <c r="D29" s="44"/>
      <c r="E29" s="39"/>
      <c r="F29" s="39"/>
      <c r="G29" s="42"/>
      <c r="H29" s="39"/>
      <c r="I29" s="39"/>
      <c r="J29" s="44"/>
      <c r="K29" s="39"/>
      <c r="L29" s="39"/>
      <c r="M29" s="14"/>
      <c r="N29" s="65"/>
      <c r="O29" s="46"/>
      <c r="P29" s="49"/>
      <c r="Q29" s="46"/>
      <c r="R29" s="37"/>
      <c r="S29" s="14"/>
      <c r="T29" s="14"/>
      <c r="U29" s="14"/>
      <c r="V29" s="14"/>
      <c r="W29" s="14"/>
      <c r="X29" s="14"/>
      <c r="Y29" s="14"/>
      <c r="Z29" s="14"/>
    </row>
    <row r="30" spans="1:26" ht="15" customHeight="1" x14ac:dyDescent="0.35">
      <c r="A30" s="14"/>
      <c r="B30" s="39"/>
      <c r="C30" s="39"/>
      <c r="D30" s="44"/>
      <c r="E30" s="39"/>
      <c r="F30" s="39"/>
      <c r="G30" s="42"/>
      <c r="H30" s="39"/>
      <c r="I30" s="39"/>
      <c r="J30" s="44"/>
      <c r="K30" s="39"/>
      <c r="L30" s="39"/>
      <c r="M30" s="14"/>
      <c r="N30" s="65"/>
      <c r="O30" s="46"/>
      <c r="P30" s="49"/>
      <c r="Q30" s="46"/>
      <c r="R30" s="37"/>
      <c r="S30" s="14"/>
      <c r="T30" s="14"/>
      <c r="U30" s="14"/>
      <c r="V30" s="14"/>
      <c r="W30" s="14"/>
      <c r="X30" s="14"/>
      <c r="Y30" s="14"/>
      <c r="Z30" s="14"/>
    </row>
    <row r="31" spans="1:26" ht="15" customHeight="1" x14ac:dyDescent="0.35">
      <c r="A31" s="14"/>
      <c r="B31" s="39"/>
      <c r="C31" s="39"/>
      <c r="D31" s="44"/>
      <c r="E31" s="39"/>
      <c r="F31" s="39"/>
      <c r="G31" s="42"/>
      <c r="H31" s="39"/>
      <c r="I31" s="39"/>
      <c r="J31" s="44"/>
      <c r="K31" s="39"/>
      <c r="L31" s="39"/>
      <c r="M31" s="14"/>
      <c r="N31" s="37"/>
      <c r="O31" s="46"/>
      <c r="P31" s="49"/>
      <c r="Q31" s="46"/>
      <c r="R31" s="37"/>
      <c r="S31" s="14"/>
      <c r="T31" s="14"/>
      <c r="U31" s="14"/>
      <c r="V31" s="14"/>
      <c r="W31" s="14"/>
      <c r="X31" s="14"/>
      <c r="Y31" s="14"/>
      <c r="Z31" s="14"/>
    </row>
    <row r="32" spans="1:26" ht="15" customHeight="1" x14ac:dyDescent="0.35">
      <c r="A32" s="14"/>
      <c r="B32" s="39"/>
      <c r="C32" s="39"/>
      <c r="D32" s="44"/>
      <c r="E32" s="39"/>
      <c r="F32" s="39"/>
      <c r="G32" s="42"/>
      <c r="H32" s="39"/>
      <c r="I32" s="39"/>
      <c r="J32" s="44"/>
      <c r="K32" s="39"/>
      <c r="L32" s="39"/>
      <c r="M32" s="14"/>
      <c r="N32" s="37"/>
      <c r="O32" s="46"/>
      <c r="P32" s="49"/>
      <c r="Q32" s="46"/>
      <c r="R32" s="64"/>
      <c r="S32" s="14"/>
      <c r="T32" s="14"/>
      <c r="U32" s="14"/>
      <c r="V32" s="14"/>
      <c r="W32" s="14"/>
      <c r="X32" s="14"/>
      <c r="Y32" s="14"/>
      <c r="Z32" s="14"/>
    </row>
    <row r="33" spans="1:26" ht="15" customHeight="1" x14ac:dyDescent="0.35">
      <c r="A33" s="14"/>
      <c r="B33" s="39"/>
      <c r="C33" s="39"/>
      <c r="D33" s="44"/>
      <c r="E33" s="39"/>
      <c r="F33" s="39"/>
      <c r="G33" s="42"/>
      <c r="H33" s="39"/>
      <c r="I33" s="39"/>
      <c r="J33" s="44"/>
      <c r="K33" s="39"/>
      <c r="L33" s="39"/>
      <c r="M33" s="14"/>
      <c r="N33" s="37"/>
      <c r="O33" s="46"/>
      <c r="P33" s="49"/>
      <c r="Q33" s="46"/>
      <c r="R33" s="37"/>
      <c r="S33" s="14"/>
      <c r="T33" s="14"/>
      <c r="U33" s="14"/>
      <c r="V33" s="14"/>
      <c r="W33" s="14"/>
      <c r="X33" s="14"/>
      <c r="Y33" s="14"/>
      <c r="Z33" s="14"/>
    </row>
    <row r="34" spans="1:26" ht="15" customHeight="1" x14ac:dyDescent="0.35">
      <c r="A34" s="14"/>
      <c r="B34" s="39"/>
      <c r="C34" s="39"/>
      <c r="D34" s="44"/>
      <c r="E34" s="39"/>
      <c r="F34" s="39"/>
      <c r="G34" s="42"/>
      <c r="H34" s="39"/>
      <c r="I34" s="39"/>
      <c r="J34" s="44"/>
      <c r="K34" s="39"/>
      <c r="L34" s="39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x14ac:dyDescent="0.35">
      <c r="A35" s="14"/>
      <c r="B35" s="39"/>
      <c r="C35" s="39"/>
      <c r="D35" s="44"/>
      <c r="E35" s="39"/>
      <c r="F35" s="39"/>
      <c r="G35" s="42"/>
      <c r="H35" s="39"/>
      <c r="I35" s="39"/>
      <c r="J35" s="44"/>
      <c r="K35" s="39"/>
      <c r="L35" s="39"/>
      <c r="M35" s="14"/>
      <c r="N35" s="14"/>
      <c r="O35" s="38" t="s">
        <v>98</v>
      </c>
      <c r="P35" s="47">
        <f>SUMIF(F6:F35, "Crédito", D6:D35) + SUMIF(L6:L35, "Crédito", J6:J35) + SUMIF(R16:R33, "Crédito", P16:P33)</f>
        <v>555.93000000000006</v>
      </c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x14ac:dyDescent="0.3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x14ac:dyDescent="0.35">
      <c r="D37"/>
    </row>
    <row r="38" spans="1:26" x14ac:dyDescent="0.35">
      <c r="D38"/>
    </row>
    <row r="39" spans="1:26" x14ac:dyDescent="0.35">
      <c r="D39"/>
    </row>
    <row r="40" spans="1:26" x14ac:dyDescent="0.35">
      <c r="D40"/>
    </row>
    <row r="41" spans="1:26" x14ac:dyDescent="0.35">
      <c r="D41"/>
    </row>
    <row r="42" spans="1:26" x14ac:dyDescent="0.35">
      <c r="D42"/>
    </row>
    <row r="43" spans="1:26" x14ac:dyDescent="0.35">
      <c r="D43"/>
    </row>
    <row r="44" spans="1:26" x14ac:dyDescent="0.35">
      <c r="D44"/>
    </row>
  </sheetData>
  <mergeCells count="6">
    <mergeCell ref="N20:R20"/>
    <mergeCell ref="B2:L2"/>
    <mergeCell ref="B3:L3"/>
    <mergeCell ref="B4:F4"/>
    <mergeCell ref="H4:L4"/>
    <mergeCell ref="N14:R14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CCBE7E9-DDE1-40FA-9C91-06961062B994}">
          <x14:formula1>
            <xm:f>'Planilha apoio'!$A$2:$A$13</xm:f>
          </x14:formula1>
          <xm:sqref>E44:F1048576</xm:sqref>
        </x14:dataValidation>
        <x14:dataValidation type="list" allowBlank="1" showInputMessage="1" showErrorMessage="1" xr:uid="{3AE474F0-A5CD-4B25-AA8C-3E12BCB71662}">
          <x14:formula1>
            <xm:f>'Planilha apoio'!#REF!</xm:f>
          </x14:formula1>
          <xm:sqref>G44:G1048576 M16</xm:sqref>
        </x14:dataValidation>
        <x14:dataValidation type="list" allowBlank="1" showInputMessage="1" showErrorMessage="1" xr:uid="{9D0819CC-5F1D-4A76-83EC-1C199A73D9F3}">
          <x14:formula1>
            <xm:f>'Planilha apoio'!$B$3:$B$8</xm:f>
          </x14:formula1>
          <xm:sqref>L6:L35 F6:F35</xm:sqref>
        </x14:dataValidation>
        <x14:dataValidation type="list" allowBlank="1" showInputMessage="1" showErrorMessage="1" xr:uid="{FFBB5746-9C8B-4CFB-975A-2A85EC8F609D}">
          <x14:formula1>
            <xm:f>'Planilha apoio'!$B$2:$B$8</xm:f>
          </x14:formula1>
          <xm:sqref>R16:R19</xm:sqref>
        </x14:dataValidation>
        <x14:dataValidation type="list" allowBlank="1" showInputMessage="1" showErrorMessage="1" xr:uid="{4C089E0C-82C6-4F4C-B43F-7680E1CBCB65}">
          <x14:formula1>
            <xm:f>'Planilha apoio'!$A$2:$A$42</xm:f>
          </x14:formula1>
          <xm:sqref>Q16:Q19 R34:R35 E6:E35 K6:K35 Q34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D7A35-F3F9-4BA6-9018-A8EF5C20BAA0}">
  <dimension ref="A1:Z44"/>
  <sheetViews>
    <sheetView zoomScaleNormal="100" workbookViewId="0">
      <selection activeCell="H29" sqref="H29"/>
    </sheetView>
  </sheetViews>
  <sheetFormatPr defaultRowHeight="14.5" x14ac:dyDescent="0.35"/>
  <cols>
    <col min="1" max="1" width="1.36328125" customWidth="1"/>
    <col min="2" max="2" width="7.1796875" bestFit="1" customWidth="1"/>
    <col min="3" max="3" width="19.54296875" bestFit="1" customWidth="1"/>
    <col min="4" max="4" width="10.54296875" style="1" bestFit="1" customWidth="1"/>
    <col min="5" max="5" width="11.26953125" bestFit="1" customWidth="1"/>
    <col min="6" max="6" width="11.26953125" customWidth="1"/>
    <col min="7" max="7" width="2.54296875" customWidth="1"/>
    <col min="8" max="8" width="7.1796875" bestFit="1" customWidth="1"/>
    <col min="9" max="9" width="19.54296875" bestFit="1" customWidth="1"/>
    <col min="10" max="10" width="10.54296875" bestFit="1" customWidth="1"/>
    <col min="11" max="11" width="11.26953125" bestFit="1" customWidth="1"/>
    <col min="12" max="12" width="11.26953125" customWidth="1"/>
    <col min="13" max="13" width="2.7265625" customWidth="1"/>
    <col min="14" max="14" width="9.54296875" bestFit="1" customWidth="1"/>
    <col min="15" max="15" width="18.36328125" customWidth="1"/>
    <col min="16" max="16" width="11.6328125" customWidth="1"/>
    <col min="17" max="17" width="11.6328125" bestFit="1" customWidth="1"/>
    <col min="18" max="18" width="11.6328125" customWidth="1"/>
    <col min="19" max="19" width="12.1796875" bestFit="1" customWidth="1"/>
    <col min="21" max="21" width="3.7265625" customWidth="1"/>
  </cols>
  <sheetData>
    <row r="1" spans="1:26" ht="7" customHeight="1" thickBot="1" x14ac:dyDescent="0.4">
      <c r="A1" s="14"/>
      <c r="B1" s="14"/>
      <c r="C1" s="14"/>
      <c r="D1" s="15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x14ac:dyDescent="0.35">
      <c r="A2" s="14"/>
      <c r="B2" s="79">
        <v>46174</v>
      </c>
      <c r="C2" s="80"/>
      <c r="D2" s="80"/>
      <c r="E2" s="80"/>
      <c r="F2" s="80"/>
      <c r="G2" s="80"/>
      <c r="H2" s="80"/>
      <c r="I2" s="80"/>
      <c r="J2" s="80"/>
      <c r="K2" s="80"/>
      <c r="L2" s="81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5" thickBot="1" x14ac:dyDescent="0.4">
      <c r="A3" s="14"/>
      <c r="B3" s="82" t="s">
        <v>81</v>
      </c>
      <c r="C3" s="83"/>
      <c r="D3" s="83"/>
      <c r="E3" s="83"/>
      <c r="F3" s="83"/>
      <c r="G3" s="84"/>
      <c r="H3" s="83"/>
      <c r="I3" s="83"/>
      <c r="J3" s="83"/>
      <c r="K3" s="83"/>
      <c r="L3" s="85"/>
      <c r="M3" s="35"/>
      <c r="N3" s="41" t="s">
        <v>82</v>
      </c>
      <c r="O3" s="8" t="s">
        <v>83</v>
      </c>
      <c r="P3" s="8" t="s">
        <v>84</v>
      </c>
      <c r="Q3" s="8" t="s">
        <v>85</v>
      </c>
      <c r="R3" s="14"/>
      <c r="S3" s="14"/>
      <c r="T3" s="14"/>
      <c r="U3" s="14"/>
      <c r="V3" s="14"/>
      <c r="W3" s="14"/>
      <c r="X3" s="14"/>
      <c r="Y3" s="14"/>
      <c r="Z3" s="14"/>
    </row>
    <row r="4" spans="1:26" ht="15" thickBot="1" x14ac:dyDescent="0.4">
      <c r="A4" s="14"/>
      <c r="B4" s="86" t="s">
        <v>86</v>
      </c>
      <c r="C4" s="87"/>
      <c r="D4" s="87"/>
      <c r="E4" s="87"/>
      <c r="F4" s="88"/>
      <c r="G4" s="14"/>
      <c r="H4" s="89" t="s">
        <v>87</v>
      </c>
      <c r="I4" s="90"/>
      <c r="J4" s="90"/>
      <c r="K4" s="90"/>
      <c r="L4" s="91"/>
      <c r="M4" s="35"/>
      <c r="N4" s="41" t="s">
        <v>88</v>
      </c>
      <c r="O4" s="40">
        <v>3000</v>
      </c>
      <c r="Q4" s="6">
        <f>SUM(O4+P4)</f>
        <v>3000</v>
      </c>
      <c r="R4" s="14"/>
      <c r="S4" s="14"/>
      <c r="T4" s="14"/>
      <c r="U4" s="14"/>
      <c r="V4" s="14"/>
      <c r="W4" s="14"/>
      <c r="X4" s="14"/>
      <c r="Y4" s="14"/>
      <c r="Z4" s="14"/>
    </row>
    <row r="5" spans="1:26" ht="15" customHeight="1" x14ac:dyDescent="0.35">
      <c r="A5" s="35"/>
      <c r="B5" s="52" t="s">
        <v>4</v>
      </c>
      <c r="C5" s="52" t="s">
        <v>5</v>
      </c>
      <c r="D5" s="53" t="s">
        <v>6</v>
      </c>
      <c r="E5" s="52" t="s">
        <v>7</v>
      </c>
      <c r="F5" s="52" t="s">
        <v>106</v>
      </c>
      <c r="G5" s="14"/>
      <c r="H5" s="52" t="s">
        <v>4</v>
      </c>
      <c r="I5" s="52" t="s">
        <v>5</v>
      </c>
      <c r="J5" s="53" t="s">
        <v>6</v>
      </c>
      <c r="K5" s="52" t="s">
        <v>7</v>
      </c>
      <c r="L5" s="52" t="s">
        <v>106</v>
      </c>
      <c r="M5" s="14"/>
      <c r="N5" s="41" t="s">
        <v>89</v>
      </c>
      <c r="O5" s="40">
        <v>2000</v>
      </c>
      <c r="P5" s="6"/>
      <c r="Q5" s="6">
        <f>SUM(O5+P5)</f>
        <v>2000</v>
      </c>
      <c r="R5" s="14"/>
      <c r="S5" s="14"/>
      <c r="T5" s="14"/>
      <c r="U5" s="14"/>
      <c r="V5" s="14"/>
      <c r="W5" s="14"/>
      <c r="X5" s="14"/>
      <c r="Y5" s="14"/>
      <c r="Z5" s="14"/>
    </row>
    <row r="6" spans="1:26" ht="15" customHeight="1" x14ac:dyDescent="0.35">
      <c r="A6" s="35"/>
      <c r="B6" s="37"/>
      <c r="C6" s="39"/>
      <c r="D6" s="44"/>
      <c r="E6" s="39"/>
      <c r="F6" s="39"/>
      <c r="G6" s="42"/>
      <c r="H6" s="37"/>
      <c r="I6" s="39"/>
      <c r="J6" s="44"/>
      <c r="K6" s="39"/>
      <c r="L6" s="39"/>
      <c r="M6" s="35"/>
      <c r="N6" s="41" t="s">
        <v>101</v>
      </c>
      <c r="O6" s="40">
        <v>1012</v>
      </c>
      <c r="P6" s="41" t="s">
        <v>85</v>
      </c>
      <c r="Q6" s="6">
        <f>SUM(Q4:Q5)</f>
        <v>5000</v>
      </c>
      <c r="R6" s="14"/>
      <c r="S6" s="14"/>
      <c r="T6" s="14"/>
      <c r="U6" s="14"/>
      <c r="V6" s="14"/>
      <c r="W6" s="14"/>
      <c r="X6" s="14"/>
      <c r="Y6" s="14"/>
      <c r="Z6" s="14"/>
    </row>
    <row r="7" spans="1:26" ht="15" customHeight="1" x14ac:dyDescent="0.35">
      <c r="A7" s="35"/>
      <c r="B7" s="37"/>
      <c r="C7" s="39"/>
      <c r="D7" s="44"/>
      <c r="E7" s="39"/>
      <c r="F7" s="39"/>
      <c r="G7" s="42"/>
      <c r="H7" s="37"/>
      <c r="I7" s="39"/>
      <c r="J7" s="44"/>
      <c r="K7" s="39"/>
      <c r="L7" s="39"/>
      <c r="M7" s="35"/>
      <c r="N7" s="14"/>
      <c r="O7" s="14"/>
      <c r="P7" s="41" t="s">
        <v>90</v>
      </c>
      <c r="Q7" s="6">
        <f>SUM(Q6+O6)</f>
        <v>6012</v>
      </c>
      <c r="R7" s="14"/>
      <c r="S7" s="14"/>
      <c r="T7" s="14"/>
      <c r="U7" s="14"/>
      <c r="V7" s="14"/>
      <c r="W7" s="14"/>
      <c r="X7" s="14"/>
      <c r="Y7" s="14"/>
      <c r="Z7" s="14"/>
    </row>
    <row r="8" spans="1:26" ht="15" customHeight="1" x14ac:dyDescent="0.35">
      <c r="A8" s="35"/>
      <c r="B8" s="37"/>
      <c r="C8" s="39"/>
      <c r="D8" s="44"/>
      <c r="E8" s="39"/>
      <c r="F8" s="39"/>
      <c r="G8" s="42"/>
      <c r="H8" s="37"/>
      <c r="I8" s="39"/>
      <c r="J8" s="44"/>
      <c r="K8" s="39"/>
      <c r="L8" s="39"/>
      <c r="M8" s="35"/>
      <c r="N8" s="42"/>
      <c r="O8" s="15"/>
      <c r="P8" s="15"/>
      <c r="Q8" s="15"/>
      <c r="R8" s="15"/>
      <c r="S8" s="14"/>
      <c r="T8" s="14"/>
      <c r="U8" s="14"/>
      <c r="V8" s="14"/>
      <c r="W8" s="14"/>
      <c r="X8" s="14"/>
      <c r="Y8" s="14"/>
      <c r="Z8" s="14"/>
    </row>
    <row r="9" spans="1:26" ht="15" customHeight="1" thickBot="1" x14ac:dyDescent="0.4">
      <c r="A9" s="35"/>
      <c r="B9" s="39"/>
      <c r="C9" s="39"/>
      <c r="D9" s="44"/>
      <c r="E9" s="39"/>
      <c r="F9" s="39"/>
      <c r="G9" s="42"/>
      <c r="H9" s="39"/>
      <c r="I9" s="56"/>
      <c r="J9" s="44"/>
      <c r="K9" s="39"/>
      <c r="L9" s="39"/>
      <c r="M9" s="35"/>
      <c r="N9" s="43" t="s">
        <v>91</v>
      </c>
      <c r="O9" s="24">
        <v>1000</v>
      </c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15" customHeight="1" thickBot="1" x14ac:dyDescent="0.4">
      <c r="A10" s="35"/>
      <c r="B10" s="39"/>
      <c r="C10" s="39"/>
      <c r="D10" s="44"/>
      <c r="E10" s="39"/>
      <c r="F10" s="39"/>
      <c r="G10" s="42"/>
      <c r="H10" s="54"/>
      <c r="I10" s="58"/>
      <c r="J10" s="55"/>
      <c r="K10" s="39"/>
      <c r="L10" s="39"/>
      <c r="M10" s="35"/>
      <c r="N10" s="43" t="s">
        <v>92</v>
      </c>
      <c r="O10" s="6">
        <f>SUM(P16:P19) + SUM(P21:P33)</f>
        <v>2325.0100000000002</v>
      </c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15" customHeight="1" x14ac:dyDescent="0.35">
      <c r="A11" s="35"/>
      <c r="B11" s="39"/>
      <c r="C11" s="39"/>
      <c r="D11" s="44"/>
      <c r="E11" s="39"/>
      <c r="F11" s="39"/>
      <c r="G11" s="42"/>
      <c r="H11" s="39"/>
      <c r="I11" s="57"/>
      <c r="J11" s="44"/>
      <c r="K11" s="39"/>
      <c r="L11" s="39"/>
      <c r="M11" s="35"/>
      <c r="N11" s="43" t="s">
        <v>93</v>
      </c>
      <c r="O11" s="6" cm="1">
        <f t="array" ref="O11">SUM(D6:D35+J6:J35)</f>
        <v>0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15" customHeight="1" x14ac:dyDescent="0.35">
      <c r="A12" s="35"/>
      <c r="B12" s="39"/>
      <c r="C12" s="39"/>
      <c r="D12" s="44"/>
      <c r="E12" s="39"/>
      <c r="F12" s="39"/>
      <c r="G12" s="42"/>
      <c r="H12" s="39"/>
      <c r="I12" s="39"/>
      <c r="J12" s="44"/>
      <c r="K12" s="39"/>
      <c r="L12" s="39"/>
      <c r="M12" s="35"/>
      <c r="N12" s="43" t="s">
        <v>24</v>
      </c>
      <c r="O12" s="6">
        <f>SUM(O9:O11)</f>
        <v>3325.01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15" customHeight="1" thickBot="1" x14ac:dyDescent="0.4">
      <c r="A13" s="35"/>
      <c r="B13" s="39"/>
      <c r="C13" s="39"/>
      <c r="D13" s="44"/>
      <c r="E13" s="39"/>
      <c r="F13" s="39"/>
      <c r="G13" s="42"/>
      <c r="H13" s="39"/>
      <c r="I13" s="39"/>
      <c r="J13" s="44"/>
      <c r="K13" s="39"/>
      <c r="L13" s="39"/>
      <c r="M13" s="35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15" customHeight="1" thickBot="1" x14ac:dyDescent="0.4">
      <c r="A14" s="35"/>
      <c r="B14" s="37"/>
      <c r="C14" s="39"/>
      <c r="D14" s="44"/>
      <c r="E14" s="39"/>
      <c r="F14" s="39"/>
      <c r="G14" s="42"/>
      <c r="H14" s="37"/>
      <c r="I14" s="39"/>
      <c r="J14" s="44"/>
      <c r="K14" s="39"/>
      <c r="L14" s="39"/>
      <c r="M14" s="35"/>
      <c r="N14" s="76" t="s">
        <v>94</v>
      </c>
      <c r="O14" s="77"/>
      <c r="P14" s="77"/>
      <c r="Q14" s="77"/>
      <c r="R14" s="78"/>
      <c r="S14" s="14"/>
      <c r="T14" s="14"/>
      <c r="U14" s="14"/>
      <c r="V14" s="14"/>
      <c r="W14" s="14"/>
      <c r="X14" s="14"/>
      <c r="Y14" s="14"/>
      <c r="Z14" s="14"/>
    </row>
    <row r="15" spans="1:26" ht="15" customHeight="1" x14ac:dyDescent="0.35">
      <c r="A15" s="35"/>
      <c r="B15" s="37"/>
      <c r="C15" s="39"/>
      <c r="D15" s="44"/>
      <c r="E15" s="39"/>
      <c r="F15" s="39"/>
      <c r="G15" s="42"/>
      <c r="H15" s="37"/>
      <c r="I15" s="39"/>
      <c r="J15" s="44"/>
      <c r="K15" s="39"/>
      <c r="L15" s="39"/>
      <c r="M15" s="35"/>
      <c r="N15" s="59" t="s">
        <v>4</v>
      </c>
      <c r="O15" s="60" t="s">
        <v>5</v>
      </c>
      <c r="P15" s="61" t="s">
        <v>6</v>
      </c>
      <c r="Q15" s="59" t="s">
        <v>7</v>
      </c>
      <c r="R15" s="59" t="s">
        <v>106</v>
      </c>
      <c r="S15" s="14"/>
      <c r="T15" s="14"/>
      <c r="U15" s="14"/>
      <c r="V15" s="14"/>
      <c r="W15" s="14"/>
      <c r="X15" s="14"/>
      <c r="Y15" s="14"/>
      <c r="Z15" s="14"/>
    </row>
    <row r="16" spans="1:26" ht="15" customHeight="1" x14ac:dyDescent="0.35">
      <c r="A16" s="14"/>
      <c r="B16" s="39"/>
      <c r="C16" s="39"/>
      <c r="D16" s="44"/>
      <c r="E16" s="39"/>
      <c r="F16" s="39"/>
      <c r="G16" s="42"/>
      <c r="H16" s="39"/>
      <c r="I16" s="39"/>
      <c r="J16" s="44"/>
      <c r="K16" s="39"/>
      <c r="L16" s="39"/>
      <c r="M16" s="14"/>
      <c r="N16" s="65">
        <v>45813</v>
      </c>
      <c r="O16" s="45" t="s">
        <v>22</v>
      </c>
      <c r="P16" s="50">
        <v>850</v>
      </c>
      <c r="Q16" s="37" t="s">
        <v>22</v>
      </c>
      <c r="R16" s="37" t="s">
        <v>72</v>
      </c>
      <c r="S16" s="14"/>
      <c r="T16" s="14"/>
      <c r="U16" s="14"/>
      <c r="V16" s="14"/>
      <c r="W16" s="14"/>
      <c r="X16" s="14"/>
      <c r="Y16" s="14"/>
      <c r="Z16" s="14"/>
    </row>
    <row r="17" spans="1:26" ht="15" customHeight="1" x14ac:dyDescent="0.35">
      <c r="A17" s="14"/>
      <c r="B17" s="39"/>
      <c r="C17" s="39"/>
      <c r="D17" s="44"/>
      <c r="E17" s="39"/>
      <c r="F17" s="39"/>
      <c r="G17" s="42"/>
      <c r="H17" s="39"/>
      <c r="I17" s="39"/>
      <c r="J17" s="44"/>
      <c r="K17" s="39"/>
      <c r="L17" s="39"/>
      <c r="M17" s="35"/>
      <c r="N17" s="65">
        <v>45813</v>
      </c>
      <c r="O17" s="45" t="s">
        <v>25</v>
      </c>
      <c r="P17" s="50">
        <v>220</v>
      </c>
      <c r="Q17" s="37" t="s">
        <v>25</v>
      </c>
      <c r="R17" s="37" t="s">
        <v>72</v>
      </c>
      <c r="S17" s="14"/>
      <c r="T17" s="14"/>
      <c r="U17" s="14"/>
      <c r="V17" s="14"/>
      <c r="W17" s="14"/>
      <c r="X17" s="14"/>
      <c r="Y17" s="14"/>
      <c r="Z17" s="14"/>
    </row>
    <row r="18" spans="1:26" ht="15" customHeight="1" x14ac:dyDescent="0.35">
      <c r="A18" s="36"/>
      <c r="B18" s="39"/>
      <c r="C18" s="39"/>
      <c r="D18" s="44"/>
      <c r="E18" s="39"/>
      <c r="F18" s="39"/>
      <c r="G18" s="42"/>
      <c r="H18" s="39"/>
      <c r="I18" s="39"/>
      <c r="J18" s="44"/>
      <c r="K18" s="39"/>
      <c r="L18" s="39"/>
      <c r="M18" s="35"/>
      <c r="N18" s="65">
        <v>45813</v>
      </c>
      <c r="O18" s="46" t="s">
        <v>96</v>
      </c>
      <c r="P18" s="50">
        <f>SUM('jan-26'!P35)</f>
        <v>555.93000000000006</v>
      </c>
      <c r="Q18" s="48" t="s">
        <v>60</v>
      </c>
      <c r="R18" s="48" t="s">
        <v>72</v>
      </c>
      <c r="S18" s="14"/>
      <c r="T18" s="14"/>
      <c r="U18" s="14"/>
      <c r="V18" s="14"/>
      <c r="W18" s="14"/>
      <c r="X18" s="14"/>
      <c r="Y18" s="14"/>
      <c r="Z18" s="14"/>
    </row>
    <row r="19" spans="1:26" ht="15" customHeight="1" thickBot="1" x14ac:dyDescent="0.4">
      <c r="A19" s="36"/>
      <c r="B19" s="39"/>
      <c r="C19" s="39"/>
      <c r="D19" s="44"/>
      <c r="E19" s="39"/>
      <c r="F19" s="39"/>
      <c r="G19" s="42"/>
      <c r="H19" s="39"/>
      <c r="I19" s="39"/>
      <c r="J19" s="44"/>
      <c r="K19" s="39"/>
      <c r="L19" s="39"/>
      <c r="M19" s="14"/>
      <c r="N19" s="65">
        <v>45813</v>
      </c>
      <c r="O19" s="62" t="s">
        <v>100</v>
      </c>
      <c r="P19" s="63">
        <v>143.15</v>
      </c>
      <c r="Q19" s="64" t="s">
        <v>59</v>
      </c>
      <c r="R19" s="64" t="s">
        <v>108</v>
      </c>
      <c r="S19" s="14"/>
      <c r="T19" s="14"/>
      <c r="U19" s="14"/>
      <c r="V19" s="14"/>
      <c r="W19" s="14"/>
      <c r="X19" s="14"/>
      <c r="Y19" s="14"/>
      <c r="Z19" s="14"/>
    </row>
    <row r="20" spans="1:26" ht="15" customHeight="1" thickBot="1" x14ac:dyDescent="0.4">
      <c r="A20" s="14"/>
      <c r="B20" s="39"/>
      <c r="C20" s="39"/>
      <c r="D20" s="44"/>
      <c r="E20" s="39"/>
      <c r="F20" s="39"/>
      <c r="G20" s="42"/>
      <c r="H20" s="39"/>
      <c r="I20" s="39"/>
      <c r="J20" s="44"/>
      <c r="K20" s="39"/>
      <c r="L20" s="39"/>
      <c r="M20" s="14"/>
      <c r="N20" s="76" t="s">
        <v>105</v>
      </c>
      <c r="O20" s="77"/>
      <c r="P20" s="77"/>
      <c r="Q20" s="77"/>
      <c r="R20" s="78"/>
      <c r="S20" s="14"/>
      <c r="T20" s="14"/>
      <c r="U20" s="14"/>
      <c r="V20" s="14"/>
      <c r="W20" s="14"/>
      <c r="X20" s="14"/>
      <c r="Y20" s="14"/>
      <c r="Z20" s="14"/>
    </row>
    <row r="21" spans="1:26" ht="15" customHeight="1" x14ac:dyDescent="0.35">
      <c r="A21" s="14"/>
      <c r="B21" s="39"/>
      <c r="C21" s="39"/>
      <c r="D21" s="44"/>
      <c r="E21" s="39"/>
      <c r="F21" s="39"/>
      <c r="G21" s="42"/>
      <c r="H21" s="39"/>
      <c r="I21" s="39"/>
      <c r="J21" s="44"/>
      <c r="K21" s="39"/>
      <c r="L21" s="39"/>
      <c r="M21" s="14"/>
      <c r="N21" s="65">
        <v>45843</v>
      </c>
      <c r="O21" s="66" t="s">
        <v>18</v>
      </c>
      <c r="P21" s="67">
        <v>40.9</v>
      </c>
      <c r="Q21" s="65" t="s">
        <v>19</v>
      </c>
      <c r="R21" s="37" t="s">
        <v>51</v>
      </c>
      <c r="S21" s="14"/>
      <c r="T21" s="14"/>
      <c r="U21" s="14"/>
      <c r="V21" s="14"/>
      <c r="W21" s="14"/>
      <c r="X21" s="14"/>
      <c r="Y21" s="14"/>
      <c r="Z21" s="14"/>
    </row>
    <row r="22" spans="1:26" ht="15" customHeight="1" x14ac:dyDescent="0.35">
      <c r="A22" s="14"/>
      <c r="B22" s="39"/>
      <c r="C22" s="39"/>
      <c r="D22" s="44"/>
      <c r="E22" s="39"/>
      <c r="F22" s="39"/>
      <c r="G22" s="42"/>
      <c r="H22" s="39"/>
      <c r="I22" s="39"/>
      <c r="J22" s="44"/>
      <c r="K22" s="39"/>
      <c r="L22" s="39"/>
      <c r="M22" s="14"/>
      <c r="N22" s="65">
        <v>45843</v>
      </c>
      <c r="O22" s="46" t="s">
        <v>97</v>
      </c>
      <c r="P22" s="49">
        <v>66.900000000000006</v>
      </c>
      <c r="Q22" s="65" t="s">
        <v>19</v>
      </c>
      <c r="R22" s="37" t="s">
        <v>51</v>
      </c>
      <c r="S22" s="14"/>
      <c r="T22" s="14"/>
      <c r="U22" s="14"/>
      <c r="V22" s="14"/>
      <c r="W22" s="14"/>
      <c r="X22" s="14"/>
      <c r="Y22" s="14"/>
      <c r="Z22" s="14"/>
    </row>
    <row r="23" spans="1:26" ht="15" customHeight="1" x14ac:dyDescent="0.35">
      <c r="A23" s="14"/>
      <c r="B23" s="39"/>
      <c r="C23" s="39"/>
      <c r="D23" s="44"/>
      <c r="E23" s="39"/>
      <c r="F23" s="39"/>
      <c r="G23" s="42"/>
      <c r="H23" s="39"/>
      <c r="I23" s="39"/>
      <c r="J23" s="44"/>
      <c r="K23" s="39"/>
      <c r="L23" s="39"/>
      <c r="M23" s="14"/>
      <c r="N23" s="65">
        <v>45843</v>
      </c>
      <c r="O23" s="46" t="s">
        <v>102</v>
      </c>
      <c r="P23" s="49">
        <v>59.99</v>
      </c>
      <c r="Q23" s="46" t="s">
        <v>19</v>
      </c>
      <c r="R23" s="37" t="s">
        <v>51</v>
      </c>
      <c r="S23" s="14"/>
      <c r="T23" s="14"/>
      <c r="U23" s="14"/>
      <c r="V23" s="14"/>
      <c r="W23" s="14"/>
      <c r="X23" s="14"/>
      <c r="Y23" s="14"/>
      <c r="Z23" s="14"/>
    </row>
    <row r="24" spans="1:26" ht="15" customHeight="1" x14ac:dyDescent="0.35">
      <c r="A24" s="14"/>
      <c r="B24" s="39"/>
      <c r="C24" s="39"/>
      <c r="D24" s="44"/>
      <c r="E24" s="39"/>
      <c r="F24" s="39"/>
      <c r="G24" s="42"/>
      <c r="H24" s="39"/>
      <c r="I24" s="39"/>
      <c r="J24" s="44"/>
      <c r="K24" s="39"/>
      <c r="L24" s="39"/>
      <c r="M24" s="14"/>
      <c r="N24" s="65">
        <v>45843</v>
      </c>
      <c r="O24" s="45" t="s">
        <v>103</v>
      </c>
      <c r="P24" s="50">
        <v>119.9</v>
      </c>
      <c r="Q24" s="37" t="s">
        <v>11</v>
      </c>
      <c r="R24" s="37" t="s">
        <v>51</v>
      </c>
      <c r="S24" s="14"/>
      <c r="T24" s="14"/>
      <c r="U24" s="14"/>
      <c r="V24" s="14"/>
      <c r="W24" s="14"/>
      <c r="X24" s="14"/>
      <c r="Y24" s="14"/>
      <c r="Z24" s="14"/>
    </row>
    <row r="25" spans="1:26" ht="15" customHeight="1" x14ac:dyDescent="0.35">
      <c r="A25" s="14"/>
      <c r="B25" s="39"/>
      <c r="C25" s="39"/>
      <c r="D25" s="44"/>
      <c r="E25" s="39"/>
      <c r="F25" s="39"/>
      <c r="G25" s="42"/>
      <c r="H25" s="39"/>
      <c r="I25" s="39"/>
      <c r="J25" s="44"/>
      <c r="K25" s="39"/>
      <c r="L25" s="39"/>
      <c r="M25" s="14"/>
      <c r="N25" s="65">
        <v>45843</v>
      </c>
      <c r="O25" s="45" t="s">
        <v>95</v>
      </c>
      <c r="P25" s="50">
        <v>50.08</v>
      </c>
      <c r="Q25" s="37" t="s">
        <v>11</v>
      </c>
      <c r="R25" s="37" t="s">
        <v>51</v>
      </c>
      <c r="S25" s="14"/>
      <c r="T25" s="14"/>
      <c r="U25" s="14"/>
      <c r="V25" s="14"/>
      <c r="W25" s="14"/>
      <c r="X25" s="14"/>
      <c r="Y25" s="14"/>
      <c r="Z25" s="14"/>
    </row>
    <row r="26" spans="1:26" ht="15" customHeight="1" x14ac:dyDescent="0.35">
      <c r="A26" s="14"/>
      <c r="B26" s="39"/>
      <c r="C26" s="39"/>
      <c r="D26" s="44"/>
      <c r="E26" s="39"/>
      <c r="F26" s="39"/>
      <c r="G26" s="42"/>
      <c r="H26" s="39"/>
      <c r="I26" s="39"/>
      <c r="J26" s="44"/>
      <c r="K26" s="39"/>
      <c r="L26" s="39"/>
      <c r="M26" s="14"/>
      <c r="N26" s="65">
        <v>45843</v>
      </c>
      <c r="O26" s="46" t="s">
        <v>104</v>
      </c>
      <c r="P26" s="49">
        <v>38.36</v>
      </c>
      <c r="Q26" s="37" t="s">
        <v>11</v>
      </c>
      <c r="R26" s="37" t="s">
        <v>51</v>
      </c>
      <c r="S26" s="14"/>
      <c r="T26" s="14"/>
      <c r="U26" s="14"/>
      <c r="V26" s="14"/>
      <c r="W26" s="14"/>
      <c r="X26" s="14"/>
      <c r="Y26" s="14"/>
      <c r="Z26" s="14"/>
    </row>
    <row r="27" spans="1:26" ht="15" customHeight="1" x14ac:dyDescent="0.35">
      <c r="A27" s="14"/>
      <c r="B27" s="39"/>
      <c r="C27" s="39"/>
      <c r="D27" s="44"/>
      <c r="E27" s="39"/>
      <c r="F27" s="39"/>
      <c r="G27" s="42"/>
      <c r="H27" s="39"/>
      <c r="I27" s="39"/>
      <c r="J27" s="44"/>
      <c r="K27" s="39"/>
      <c r="L27" s="39"/>
      <c r="M27" s="14"/>
      <c r="N27" s="65">
        <v>45843</v>
      </c>
      <c r="O27" s="46" t="s">
        <v>115</v>
      </c>
      <c r="P27" s="50">
        <v>89.9</v>
      </c>
      <c r="Q27" s="37" t="s">
        <v>75</v>
      </c>
      <c r="R27" s="37" t="s">
        <v>51</v>
      </c>
      <c r="S27" s="14"/>
      <c r="T27" s="14"/>
      <c r="U27" s="14"/>
      <c r="V27" s="14"/>
      <c r="W27" s="14"/>
      <c r="X27" s="14"/>
      <c r="Y27" s="14"/>
      <c r="Z27" s="14"/>
    </row>
    <row r="28" spans="1:26" ht="15" customHeight="1" x14ac:dyDescent="0.35">
      <c r="A28" s="14"/>
      <c r="B28" s="39"/>
      <c r="C28" s="39"/>
      <c r="D28" s="44"/>
      <c r="E28" s="39"/>
      <c r="F28" s="39"/>
      <c r="G28" s="42"/>
      <c r="H28" s="39"/>
      <c r="I28" s="39"/>
      <c r="J28" s="44"/>
      <c r="K28" s="39"/>
      <c r="L28" s="39"/>
      <c r="M28" s="14"/>
      <c r="N28" s="65">
        <v>45843</v>
      </c>
      <c r="O28" s="46" t="s">
        <v>99</v>
      </c>
      <c r="P28" s="50">
        <v>89.9</v>
      </c>
      <c r="Q28" s="37" t="s">
        <v>75</v>
      </c>
      <c r="R28" s="37" t="s">
        <v>51</v>
      </c>
      <c r="S28" s="14"/>
      <c r="T28" s="14"/>
      <c r="U28" s="14"/>
      <c r="V28" s="14"/>
      <c r="W28" s="14"/>
      <c r="X28" s="14"/>
      <c r="Y28" s="14"/>
      <c r="Z28" s="14"/>
    </row>
    <row r="29" spans="1:26" ht="15" customHeight="1" x14ac:dyDescent="0.35">
      <c r="A29" s="14"/>
      <c r="B29" s="39"/>
      <c r="C29" s="39"/>
      <c r="D29" s="44"/>
      <c r="E29" s="39"/>
      <c r="F29" s="39"/>
      <c r="G29" s="42"/>
      <c r="H29" s="39"/>
      <c r="I29" s="39"/>
      <c r="J29" s="44"/>
      <c r="K29" s="39"/>
      <c r="L29" s="39"/>
      <c r="M29" s="14"/>
      <c r="N29" s="65"/>
      <c r="O29" s="46"/>
      <c r="P29" s="49"/>
      <c r="Q29" s="46"/>
      <c r="R29" s="37"/>
      <c r="S29" s="14"/>
      <c r="T29" s="14"/>
      <c r="U29" s="14"/>
      <c r="V29" s="14"/>
      <c r="W29" s="14"/>
      <c r="X29" s="14"/>
      <c r="Y29" s="14"/>
      <c r="Z29" s="14"/>
    </row>
    <row r="30" spans="1:26" ht="15" customHeight="1" x14ac:dyDescent="0.35">
      <c r="A30" s="14"/>
      <c r="B30" s="39"/>
      <c r="C30" s="39"/>
      <c r="D30" s="44"/>
      <c r="E30" s="39"/>
      <c r="F30" s="39"/>
      <c r="G30" s="42"/>
      <c r="H30" s="39"/>
      <c r="I30" s="39"/>
      <c r="J30" s="44"/>
      <c r="K30" s="39"/>
      <c r="L30" s="39"/>
      <c r="M30" s="14"/>
      <c r="N30" s="65"/>
      <c r="O30" s="46"/>
      <c r="P30" s="49"/>
      <c r="Q30" s="46"/>
      <c r="R30" s="37"/>
      <c r="S30" s="14"/>
      <c r="T30" s="14"/>
      <c r="U30" s="14"/>
      <c r="V30" s="14"/>
      <c r="W30" s="14"/>
      <c r="X30" s="14"/>
      <c r="Y30" s="14"/>
      <c r="Z30" s="14"/>
    </row>
    <row r="31" spans="1:26" ht="15" customHeight="1" x14ac:dyDescent="0.35">
      <c r="A31" s="14"/>
      <c r="B31" s="39"/>
      <c r="C31" s="39"/>
      <c r="D31" s="44"/>
      <c r="E31" s="39"/>
      <c r="F31" s="39"/>
      <c r="G31" s="42"/>
      <c r="H31" s="39"/>
      <c r="I31" s="39"/>
      <c r="J31" s="44"/>
      <c r="K31" s="39"/>
      <c r="L31" s="39"/>
      <c r="M31" s="14"/>
      <c r="N31" s="37"/>
      <c r="O31" s="46"/>
      <c r="P31" s="49"/>
      <c r="Q31" s="46"/>
      <c r="R31" s="37"/>
      <c r="S31" s="14"/>
      <c r="T31" s="14"/>
      <c r="U31" s="14"/>
      <c r="V31" s="14"/>
      <c r="W31" s="14"/>
      <c r="X31" s="14"/>
      <c r="Y31" s="14"/>
      <c r="Z31" s="14"/>
    </row>
    <row r="32" spans="1:26" ht="15" customHeight="1" x14ac:dyDescent="0.35">
      <c r="A32" s="14"/>
      <c r="B32" s="39"/>
      <c r="C32" s="39"/>
      <c r="D32" s="44"/>
      <c r="E32" s="39"/>
      <c r="F32" s="39"/>
      <c r="G32" s="42"/>
      <c r="H32" s="39"/>
      <c r="I32" s="39"/>
      <c r="J32" s="44"/>
      <c r="K32" s="39"/>
      <c r="L32" s="39"/>
      <c r="M32" s="14"/>
      <c r="N32" s="37"/>
      <c r="O32" s="46"/>
      <c r="P32" s="49"/>
      <c r="Q32" s="46"/>
      <c r="R32" s="64"/>
      <c r="S32" s="14"/>
      <c r="T32" s="14"/>
      <c r="U32" s="14"/>
      <c r="V32" s="14"/>
      <c r="W32" s="14"/>
      <c r="X32" s="14"/>
      <c r="Y32" s="14"/>
      <c r="Z32" s="14"/>
    </row>
    <row r="33" spans="1:26" ht="15" customHeight="1" x14ac:dyDescent="0.35">
      <c r="A33" s="14"/>
      <c r="B33" s="39"/>
      <c r="C33" s="39"/>
      <c r="D33" s="44"/>
      <c r="E33" s="39"/>
      <c r="F33" s="39"/>
      <c r="G33" s="42"/>
      <c r="H33" s="39"/>
      <c r="I33" s="39"/>
      <c r="J33" s="44"/>
      <c r="K33" s="39"/>
      <c r="L33" s="39"/>
      <c r="M33" s="14"/>
      <c r="N33" s="37"/>
      <c r="O33" s="46"/>
      <c r="P33" s="49"/>
      <c r="Q33" s="46"/>
      <c r="R33" s="37"/>
      <c r="S33" s="14"/>
      <c r="T33" s="14"/>
      <c r="U33" s="14"/>
      <c r="V33" s="14"/>
      <c r="W33" s="14"/>
      <c r="X33" s="14"/>
      <c r="Y33" s="14"/>
      <c r="Z33" s="14"/>
    </row>
    <row r="34" spans="1:26" ht="15" customHeight="1" x14ac:dyDescent="0.35">
      <c r="A34" s="14"/>
      <c r="B34" s="39"/>
      <c r="C34" s="39"/>
      <c r="D34" s="44"/>
      <c r="E34" s="39"/>
      <c r="F34" s="39"/>
      <c r="G34" s="42"/>
      <c r="H34" s="39"/>
      <c r="I34" s="39"/>
      <c r="J34" s="44"/>
      <c r="K34" s="39"/>
      <c r="L34" s="39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x14ac:dyDescent="0.35">
      <c r="A35" s="14"/>
      <c r="B35" s="39"/>
      <c r="C35" s="39"/>
      <c r="D35" s="44"/>
      <c r="E35" s="39"/>
      <c r="F35" s="39"/>
      <c r="G35" s="42"/>
      <c r="H35" s="39"/>
      <c r="I35" s="39"/>
      <c r="J35" s="44"/>
      <c r="K35" s="39"/>
      <c r="L35" s="39"/>
      <c r="M35" s="14"/>
      <c r="N35" s="14"/>
      <c r="O35" s="38" t="s">
        <v>98</v>
      </c>
      <c r="P35" s="47">
        <f>SUMIF(F6:F35, "Crédito", D6:D35) + SUMIF(L6:L35, "Crédito", J6:J35) + SUMIF(R16:R33, "Crédito", P16:P33)</f>
        <v>555.93000000000006</v>
      </c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x14ac:dyDescent="0.3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x14ac:dyDescent="0.35">
      <c r="D37"/>
    </row>
    <row r="38" spans="1:26" x14ac:dyDescent="0.35">
      <c r="D38"/>
    </row>
    <row r="39" spans="1:26" x14ac:dyDescent="0.35">
      <c r="D39"/>
    </row>
    <row r="40" spans="1:26" x14ac:dyDescent="0.35">
      <c r="D40"/>
    </row>
    <row r="41" spans="1:26" x14ac:dyDescent="0.35">
      <c r="D41"/>
    </row>
    <row r="42" spans="1:26" x14ac:dyDescent="0.35">
      <c r="D42"/>
    </row>
    <row r="43" spans="1:26" x14ac:dyDescent="0.35">
      <c r="D43"/>
    </row>
    <row r="44" spans="1:26" x14ac:dyDescent="0.35">
      <c r="D44"/>
    </row>
  </sheetData>
  <mergeCells count="6">
    <mergeCell ref="N20:R20"/>
    <mergeCell ref="B2:L2"/>
    <mergeCell ref="B3:L3"/>
    <mergeCell ref="B4:F4"/>
    <mergeCell ref="H4:L4"/>
    <mergeCell ref="N14:R14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B25045DD-AD5A-4AB8-9B5D-4319013C30B9}">
          <x14:formula1>
            <xm:f>'Planilha apoio'!$A$2:$A$13</xm:f>
          </x14:formula1>
          <xm:sqref>E44:F1048576</xm:sqref>
        </x14:dataValidation>
        <x14:dataValidation type="list" allowBlank="1" showInputMessage="1" showErrorMessage="1" xr:uid="{E10A62F7-D92F-425D-BB85-0866F8099032}">
          <x14:formula1>
            <xm:f>'Planilha apoio'!#REF!</xm:f>
          </x14:formula1>
          <xm:sqref>G44:G1048576 M16</xm:sqref>
        </x14:dataValidation>
        <x14:dataValidation type="list" allowBlank="1" showInputMessage="1" showErrorMessage="1" xr:uid="{803EDE2C-C586-4B59-B697-693F2A1B869D}">
          <x14:formula1>
            <xm:f>'Planilha apoio'!$B$3:$B$8</xm:f>
          </x14:formula1>
          <xm:sqref>L6:L35 F6:F35</xm:sqref>
        </x14:dataValidation>
        <x14:dataValidation type="list" allowBlank="1" showInputMessage="1" showErrorMessage="1" xr:uid="{4F8F910E-54CE-40BE-B4E2-98ABF5D2B51B}">
          <x14:formula1>
            <xm:f>'Planilha apoio'!$B$2:$B$8</xm:f>
          </x14:formula1>
          <xm:sqref>R16:R19</xm:sqref>
        </x14:dataValidation>
        <x14:dataValidation type="list" allowBlank="1" showInputMessage="1" showErrorMessage="1" xr:uid="{088DE0F9-18F9-4FEB-9233-E8AFF7D287AB}">
          <x14:formula1>
            <xm:f>'Planilha apoio'!$A$2:$A$42</xm:f>
          </x14:formula1>
          <xm:sqref>Q16:Q19 R34:R35 E6:E35 K6:K35 Q34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8DADC-81CB-4C87-B387-8DBC8564CB64}">
  <dimension ref="A1:Z44"/>
  <sheetViews>
    <sheetView zoomScaleNormal="100" workbookViewId="0">
      <selection activeCell="O28" sqref="O28"/>
    </sheetView>
  </sheetViews>
  <sheetFormatPr defaultRowHeight="14.5" x14ac:dyDescent="0.35"/>
  <cols>
    <col min="1" max="1" width="1.36328125" customWidth="1"/>
    <col min="2" max="2" width="7.1796875" bestFit="1" customWidth="1"/>
    <col min="3" max="3" width="19.54296875" bestFit="1" customWidth="1"/>
    <col min="4" max="4" width="10.54296875" style="1" bestFit="1" customWidth="1"/>
    <col min="5" max="5" width="11.26953125" bestFit="1" customWidth="1"/>
    <col min="6" max="6" width="11.26953125" customWidth="1"/>
    <col min="7" max="7" width="2.54296875" customWidth="1"/>
    <col min="8" max="8" width="7.1796875" bestFit="1" customWidth="1"/>
    <col min="9" max="9" width="19.54296875" bestFit="1" customWidth="1"/>
    <col min="10" max="10" width="10.54296875" bestFit="1" customWidth="1"/>
    <col min="11" max="11" width="11.26953125" bestFit="1" customWidth="1"/>
    <col min="12" max="12" width="11.26953125" customWidth="1"/>
    <col min="13" max="13" width="2.7265625" customWidth="1"/>
    <col min="14" max="14" width="9.54296875" bestFit="1" customWidth="1"/>
    <col min="15" max="15" width="19.36328125" bestFit="1" customWidth="1"/>
    <col min="16" max="16" width="11.6328125" customWidth="1"/>
    <col min="17" max="17" width="11.6328125" bestFit="1" customWidth="1"/>
    <col min="18" max="18" width="11.6328125" customWidth="1"/>
    <col min="19" max="19" width="12.1796875" bestFit="1" customWidth="1"/>
    <col min="21" max="21" width="3.7265625" customWidth="1"/>
  </cols>
  <sheetData>
    <row r="1" spans="1:26" ht="7" customHeight="1" thickBot="1" x14ac:dyDescent="0.4">
      <c r="A1" s="14"/>
      <c r="B1" s="14"/>
      <c r="C1" s="14"/>
      <c r="D1" s="15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x14ac:dyDescent="0.35">
      <c r="A2" s="14"/>
      <c r="B2" s="79">
        <v>46204</v>
      </c>
      <c r="C2" s="80"/>
      <c r="D2" s="80"/>
      <c r="E2" s="80"/>
      <c r="F2" s="80"/>
      <c r="G2" s="80"/>
      <c r="H2" s="80"/>
      <c r="I2" s="80"/>
      <c r="J2" s="80"/>
      <c r="K2" s="80"/>
      <c r="L2" s="81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5" thickBot="1" x14ac:dyDescent="0.4">
      <c r="A3" s="14"/>
      <c r="B3" s="82" t="s">
        <v>81</v>
      </c>
      <c r="C3" s="83"/>
      <c r="D3" s="83"/>
      <c r="E3" s="83"/>
      <c r="F3" s="83"/>
      <c r="G3" s="84"/>
      <c r="H3" s="83"/>
      <c r="I3" s="83"/>
      <c r="J3" s="83"/>
      <c r="K3" s="83"/>
      <c r="L3" s="85"/>
      <c r="M3" s="35"/>
      <c r="N3" s="41" t="s">
        <v>82</v>
      </c>
      <c r="O3" s="8" t="s">
        <v>83</v>
      </c>
      <c r="P3" s="8" t="s">
        <v>84</v>
      </c>
      <c r="Q3" s="8" t="s">
        <v>85</v>
      </c>
      <c r="R3" s="14"/>
      <c r="S3" s="14"/>
      <c r="T3" s="14"/>
      <c r="U3" s="14"/>
      <c r="V3" s="14"/>
      <c r="W3" s="14"/>
      <c r="X3" s="14"/>
      <c r="Y3" s="14"/>
      <c r="Z3" s="14"/>
    </row>
    <row r="4" spans="1:26" ht="15" thickBot="1" x14ac:dyDescent="0.4">
      <c r="A4" s="14"/>
      <c r="B4" s="86" t="s">
        <v>86</v>
      </c>
      <c r="C4" s="87"/>
      <c r="D4" s="87"/>
      <c r="E4" s="87"/>
      <c r="F4" s="88"/>
      <c r="G4" s="14"/>
      <c r="H4" s="89" t="s">
        <v>87</v>
      </c>
      <c r="I4" s="90"/>
      <c r="J4" s="90"/>
      <c r="K4" s="90"/>
      <c r="L4" s="91"/>
      <c r="M4" s="35"/>
      <c r="N4" s="41" t="s">
        <v>88</v>
      </c>
      <c r="O4" s="40">
        <v>3000</v>
      </c>
      <c r="Q4" s="6">
        <f>SUM(O4+P4)</f>
        <v>3000</v>
      </c>
      <c r="R4" s="14"/>
      <c r="S4" s="14"/>
      <c r="T4" s="14"/>
      <c r="U4" s="14"/>
      <c r="V4" s="14"/>
      <c r="W4" s="14"/>
      <c r="X4" s="14"/>
      <c r="Y4" s="14"/>
      <c r="Z4" s="14"/>
    </row>
    <row r="5" spans="1:26" ht="15" customHeight="1" x14ac:dyDescent="0.35">
      <c r="A5" s="35"/>
      <c r="B5" s="52" t="s">
        <v>4</v>
      </c>
      <c r="C5" s="52" t="s">
        <v>5</v>
      </c>
      <c r="D5" s="53" t="s">
        <v>6</v>
      </c>
      <c r="E5" s="52" t="s">
        <v>7</v>
      </c>
      <c r="F5" s="52" t="s">
        <v>106</v>
      </c>
      <c r="G5" s="14"/>
      <c r="H5" s="52" t="s">
        <v>4</v>
      </c>
      <c r="I5" s="52" t="s">
        <v>5</v>
      </c>
      <c r="J5" s="53" t="s">
        <v>6</v>
      </c>
      <c r="K5" s="52" t="s">
        <v>7</v>
      </c>
      <c r="L5" s="52" t="s">
        <v>106</v>
      </c>
      <c r="M5" s="14"/>
      <c r="N5" s="41" t="s">
        <v>89</v>
      </c>
      <c r="O5" s="40">
        <v>2000</v>
      </c>
      <c r="P5" s="6"/>
      <c r="Q5" s="6">
        <f>SUM(O5+P5)</f>
        <v>2000</v>
      </c>
      <c r="R5" s="14"/>
      <c r="S5" s="14"/>
      <c r="T5" s="14"/>
      <c r="U5" s="14"/>
      <c r="V5" s="14"/>
      <c r="W5" s="14"/>
      <c r="X5" s="14"/>
      <c r="Y5" s="14"/>
      <c r="Z5" s="14"/>
    </row>
    <row r="6" spans="1:26" ht="15" customHeight="1" x14ac:dyDescent="0.35">
      <c r="A6" s="35"/>
      <c r="B6" s="37"/>
      <c r="C6" s="39"/>
      <c r="D6" s="44"/>
      <c r="E6" s="39"/>
      <c r="F6" s="39"/>
      <c r="G6" s="42"/>
      <c r="H6" s="37"/>
      <c r="I6" s="39"/>
      <c r="J6" s="44"/>
      <c r="K6" s="39"/>
      <c r="L6" s="39"/>
      <c r="M6" s="35"/>
      <c r="N6" s="41" t="s">
        <v>101</v>
      </c>
      <c r="O6" s="40">
        <v>1012</v>
      </c>
      <c r="P6" s="41" t="s">
        <v>85</v>
      </c>
      <c r="Q6" s="6">
        <f>SUM(Q4:Q5)</f>
        <v>5000</v>
      </c>
      <c r="R6" s="14"/>
      <c r="S6" s="14"/>
      <c r="T6" s="14"/>
      <c r="U6" s="14"/>
      <c r="V6" s="14"/>
      <c r="W6" s="14"/>
      <c r="X6" s="14"/>
      <c r="Y6" s="14"/>
      <c r="Z6" s="14"/>
    </row>
    <row r="7" spans="1:26" ht="15" customHeight="1" x14ac:dyDescent="0.35">
      <c r="A7" s="35"/>
      <c r="B7" s="37"/>
      <c r="C7" s="39"/>
      <c r="D7" s="44"/>
      <c r="E7" s="39"/>
      <c r="F7" s="39"/>
      <c r="G7" s="42"/>
      <c r="H7" s="37"/>
      <c r="I7" s="39"/>
      <c r="J7" s="44"/>
      <c r="K7" s="39"/>
      <c r="L7" s="39"/>
      <c r="M7" s="35"/>
      <c r="N7" s="14"/>
      <c r="O7" s="14"/>
      <c r="P7" s="41" t="s">
        <v>90</v>
      </c>
      <c r="Q7" s="6">
        <f>SUM(Q6+O6)</f>
        <v>6012</v>
      </c>
      <c r="R7" s="14"/>
      <c r="S7" s="14"/>
      <c r="T7" s="14"/>
      <c r="U7" s="14"/>
      <c r="V7" s="14"/>
      <c r="W7" s="14"/>
      <c r="X7" s="14"/>
      <c r="Y7" s="14"/>
      <c r="Z7" s="14"/>
    </row>
    <row r="8" spans="1:26" ht="15" customHeight="1" x14ac:dyDescent="0.35">
      <c r="A8" s="35"/>
      <c r="B8" s="37"/>
      <c r="C8" s="39"/>
      <c r="D8" s="44"/>
      <c r="E8" s="39"/>
      <c r="F8" s="39"/>
      <c r="G8" s="42"/>
      <c r="H8" s="37"/>
      <c r="I8" s="39"/>
      <c r="J8" s="44"/>
      <c r="K8" s="39"/>
      <c r="L8" s="39"/>
      <c r="M8" s="35"/>
      <c r="N8" s="42"/>
      <c r="O8" s="15"/>
      <c r="P8" s="15"/>
      <c r="Q8" s="15"/>
      <c r="R8" s="15"/>
      <c r="S8" s="14"/>
      <c r="T8" s="14"/>
      <c r="U8" s="14"/>
      <c r="V8" s="14"/>
      <c r="W8" s="14"/>
      <c r="X8" s="14"/>
      <c r="Y8" s="14"/>
      <c r="Z8" s="14"/>
    </row>
    <row r="9" spans="1:26" ht="15" customHeight="1" thickBot="1" x14ac:dyDescent="0.4">
      <c r="A9" s="35"/>
      <c r="B9" s="39"/>
      <c r="C9" s="39"/>
      <c r="D9" s="44"/>
      <c r="E9" s="39"/>
      <c r="F9" s="39"/>
      <c r="G9" s="42"/>
      <c r="H9" s="39"/>
      <c r="I9" s="56"/>
      <c r="J9" s="44"/>
      <c r="K9" s="39"/>
      <c r="L9" s="39"/>
      <c r="M9" s="35"/>
      <c r="N9" s="43" t="s">
        <v>91</v>
      </c>
      <c r="O9" s="24">
        <v>1000</v>
      </c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15" customHeight="1" thickBot="1" x14ac:dyDescent="0.4">
      <c r="A10" s="35"/>
      <c r="B10" s="39"/>
      <c r="C10" s="39"/>
      <c r="D10" s="44"/>
      <c r="E10" s="39"/>
      <c r="F10" s="39"/>
      <c r="G10" s="42"/>
      <c r="H10" s="54"/>
      <c r="I10" s="58"/>
      <c r="J10" s="55"/>
      <c r="K10" s="39"/>
      <c r="L10" s="39"/>
      <c r="M10" s="35"/>
      <c r="N10" s="43" t="s">
        <v>92</v>
      </c>
      <c r="O10" s="6">
        <f>SUM(P16:P19) + SUM(P21:P33)</f>
        <v>2325.0100000000002</v>
      </c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15" customHeight="1" x14ac:dyDescent="0.35">
      <c r="A11" s="35"/>
      <c r="B11" s="39"/>
      <c r="C11" s="39"/>
      <c r="D11" s="44"/>
      <c r="E11" s="39"/>
      <c r="F11" s="39"/>
      <c r="G11" s="42"/>
      <c r="H11" s="39"/>
      <c r="I11" s="57"/>
      <c r="J11" s="44"/>
      <c r="K11" s="39"/>
      <c r="L11" s="39"/>
      <c r="M11" s="35"/>
      <c r="N11" s="43" t="s">
        <v>93</v>
      </c>
      <c r="O11" s="6" cm="1">
        <f t="array" ref="O11">SUM(D6:D35+J6:J35)</f>
        <v>0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15" customHeight="1" x14ac:dyDescent="0.35">
      <c r="A12" s="35"/>
      <c r="B12" s="39"/>
      <c r="C12" s="39"/>
      <c r="D12" s="44"/>
      <c r="E12" s="39"/>
      <c r="F12" s="39"/>
      <c r="G12" s="42"/>
      <c r="H12" s="39"/>
      <c r="I12" s="39"/>
      <c r="J12" s="44"/>
      <c r="K12" s="39"/>
      <c r="L12" s="39"/>
      <c r="M12" s="35"/>
      <c r="N12" s="43" t="s">
        <v>24</v>
      </c>
      <c r="O12" s="6">
        <f>SUM(O9:O11)</f>
        <v>3325.01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15" customHeight="1" thickBot="1" x14ac:dyDescent="0.4">
      <c r="A13" s="35"/>
      <c r="B13" s="39"/>
      <c r="C13" s="39"/>
      <c r="D13" s="44"/>
      <c r="E13" s="39"/>
      <c r="F13" s="39"/>
      <c r="G13" s="42"/>
      <c r="H13" s="39"/>
      <c r="I13" s="39"/>
      <c r="J13" s="44"/>
      <c r="K13" s="39"/>
      <c r="L13" s="39"/>
      <c r="M13" s="35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15" customHeight="1" thickBot="1" x14ac:dyDescent="0.4">
      <c r="A14" s="35"/>
      <c r="B14" s="37"/>
      <c r="C14" s="39"/>
      <c r="D14" s="44"/>
      <c r="E14" s="39"/>
      <c r="F14" s="39"/>
      <c r="G14" s="42"/>
      <c r="H14" s="37"/>
      <c r="I14" s="39"/>
      <c r="J14" s="44"/>
      <c r="K14" s="39"/>
      <c r="L14" s="39"/>
      <c r="M14" s="35"/>
      <c r="N14" s="76" t="s">
        <v>94</v>
      </c>
      <c r="O14" s="77"/>
      <c r="P14" s="77"/>
      <c r="Q14" s="77"/>
      <c r="R14" s="78"/>
      <c r="S14" s="14"/>
      <c r="T14" s="14"/>
      <c r="U14" s="14"/>
      <c r="V14" s="14"/>
      <c r="W14" s="14"/>
      <c r="X14" s="14"/>
      <c r="Y14" s="14"/>
      <c r="Z14" s="14"/>
    </row>
    <row r="15" spans="1:26" ht="15" customHeight="1" x14ac:dyDescent="0.35">
      <c r="A15" s="35"/>
      <c r="B15" s="37"/>
      <c r="C15" s="39"/>
      <c r="D15" s="44"/>
      <c r="E15" s="39"/>
      <c r="F15" s="39"/>
      <c r="G15" s="42"/>
      <c r="H15" s="37"/>
      <c r="I15" s="39"/>
      <c r="J15" s="44"/>
      <c r="K15" s="39"/>
      <c r="L15" s="39"/>
      <c r="M15" s="35"/>
      <c r="N15" s="59" t="s">
        <v>4</v>
      </c>
      <c r="O15" s="60" t="s">
        <v>5</v>
      </c>
      <c r="P15" s="61" t="s">
        <v>6</v>
      </c>
      <c r="Q15" s="59" t="s">
        <v>7</v>
      </c>
      <c r="R15" s="59" t="s">
        <v>106</v>
      </c>
      <c r="S15" s="14"/>
      <c r="T15" s="14"/>
      <c r="U15" s="14"/>
      <c r="V15" s="14"/>
      <c r="W15" s="14"/>
      <c r="X15" s="14"/>
      <c r="Y15" s="14"/>
      <c r="Z15" s="14"/>
    </row>
    <row r="16" spans="1:26" ht="15" customHeight="1" x14ac:dyDescent="0.35">
      <c r="A16" s="14"/>
      <c r="B16" s="39"/>
      <c r="C16" s="39"/>
      <c r="D16" s="44"/>
      <c r="E16" s="39"/>
      <c r="F16" s="39"/>
      <c r="G16" s="42"/>
      <c r="H16" s="39"/>
      <c r="I16" s="39"/>
      <c r="J16" s="44"/>
      <c r="K16" s="39"/>
      <c r="L16" s="39"/>
      <c r="M16" s="14"/>
      <c r="N16" s="65">
        <v>45843</v>
      </c>
      <c r="O16" s="45" t="s">
        <v>22</v>
      </c>
      <c r="P16" s="50">
        <v>850</v>
      </c>
      <c r="Q16" s="37" t="s">
        <v>22</v>
      </c>
      <c r="R16" s="37" t="s">
        <v>72</v>
      </c>
      <c r="S16" s="14"/>
      <c r="T16" s="14"/>
      <c r="U16" s="14"/>
      <c r="V16" s="14"/>
      <c r="W16" s="14"/>
      <c r="X16" s="14"/>
      <c r="Y16" s="14"/>
      <c r="Z16" s="14"/>
    </row>
    <row r="17" spans="1:26" ht="15" customHeight="1" x14ac:dyDescent="0.35">
      <c r="A17" s="14"/>
      <c r="B17" s="39"/>
      <c r="C17" s="39"/>
      <c r="D17" s="44"/>
      <c r="E17" s="39"/>
      <c r="F17" s="39"/>
      <c r="G17" s="42"/>
      <c r="H17" s="39"/>
      <c r="I17" s="39"/>
      <c r="J17" s="44"/>
      <c r="K17" s="39"/>
      <c r="L17" s="39"/>
      <c r="M17" s="35"/>
      <c r="N17" s="65">
        <v>45843</v>
      </c>
      <c r="O17" s="45" t="s">
        <v>25</v>
      </c>
      <c r="P17" s="50">
        <v>220</v>
      </c>
      <c r="Q17" s="37" t="s">
        <v>25</v>
      </c>
      <c r="R17" s="37" t="s">
        <v>72</v>
      </c>
      <c r="S17" s="14"/>
      <c r="T17" s="14"/>
      <c r="U17" s="14"/>
      <c r="V17" s="14"/>
      <c r="W17" s="14"/>
      <c r="X17" s="14"/>
      <c r="Y17" s="14"/>
      <c r="Z17" s="14"/>
    </row>
    <row r="18" spans="1:26" ht="15" customHeight="1" x14ac:dyDescent="0.35">
      <c r="A18" s="36"/>
      <c r="B18" s="39"/>
      <c r="C18" s="39"/>
      <c r="D18" s="44"/>
      <c r="E18" s="39"/>
      <c r="F18" s="39"/>
      <c r="G18" s="42"/>
      <c r="H18" s="39"/>
      <c r="I18" s="39"/>
      <c r="J18" s="44"/>
      <c r="K18" s="39"/>
      <c r="L18" s="39"/>
      <c r="M18" s="35"/>
      <c r="N18" s="65">
        <v>45843</v>
      </c>
      <c r="O18" s="46" t="s">
        <v>96</v>
      </c>
      <c r="P18" s="50">
        <f>SUM('jan-26'!P35)</f>
        <v>555.93000000000006</v>
      </c>
      <c r="Q18" s="48" t="s">
        <v>60</v>
      </c>
      <c r="R18" s="48" t="s">
        <v>72</v>
      </c>
      <c r="S18" s="14"/>
      <c r="T18" s="14"/>
      <c r="U18" s="14"/>
      <c r="V18" s="14"/>
      <c r="W18" s="14"/>
      <c r="X18" s="14"/>
      <c r="Y18" s="14"/>
      <c r="Z18" s="14"/>
    </row>
    <row r="19" spans="1:26" ht="15" customHeight="1" thickBot="1" x14ac:dyDescent="0.4">
      <c r="A19" s="36"/>
      <c r="B19" s="39"/>
      <c r="C19" s="39"/>
      <c r="D19" s="44"/>
      <c r="E19" s="39"/>
      <c r="F19" s="39"/>
      <c r="G19" s="42"/>
      <c r="H19" s="39"/>
      <c r="I19" s="39"/>
      <c r="J19" s="44"/>
      <c r="K19" s="39"/>
      <c r="L19" s="39"/>
      <c r="M19" s="14"/>
      <c r="N19" s="65">
        <v>45843</v>
      </c>
      <c r="O19" s="62" t="s">
        <v>100</v>
      </c>
      <c r="P19" s="63">
        <v>143.15</v>
      </c>
      <c r="Q19" s="64" t="s">
        <v>59</v>
      </c>
      <c r="R19" s="64" t="s">
        <v>108</v>
      </c>
      <c r="S19" s="14"/>
      <c r="T19" s="14"/>
      <c r="U19" s="14"/>
      <c r="V19" s="14"/>
      <c r="W19" s="14"/>
      <c r="X19" s="14"/>
      <c r="Y19" s="14"/>
      <c r="Z19" s="14"/>
    </row>
    <row r="20" spans="1:26" ht="15" customHeight="1" thickBot="1" x14ac:dyDescent="0.4">
      <c r="A20" s="14"/>
      <c r="B20" s="39"/>
      <c r="C20" s="39"/>
      <c r="D20" s="44"/>
      <c r="E20" s="39"/>
      <c r="F20" s="39"/>
      <c r="G20" s="42"/>
      <c r="H20" s="39"/>
      <c r="I20" s="39"/>
      <c r="J20" s="44"/>
      <c r="K20" s="39"/>
      <c r="L20" s="39"/>
      <c r="M20" s="14"/>
      <c r="N20" s="76" t="s">
        <v>105</v>
      </c>
      <c r="O20" s="77"/>
      <c r="P20" s="77"/>
      <c r="Q20" s="77"/>
      <c r="R20" s="78"/>
      <c r="S20" s="14"/>
      <c r="T20" s="14"/>
      <c r="U20" s="14"/>
      <c r="V20" s="14"/>
      <c r="W20" s="14"/>
      <c r="X20" s="14"/>
      <c r="Y20" s="14"/>
      <c r="Z20" s="14"/>
    </row>
    <row r="21" spans="1:26" ht="15" customHeight="1" x14ac:dyDescent="0.35">
      <c r="A21" s="14"/>
      <c r="B21" s="39"/>
      <c r="C21" s="39"/>
      <c r="D21" s="44"/>
      <c r="E21" s="39"/>
      <c r="F21" s="39"/>
      <c r="G21" s="42"/>
      <c r="H21" s="39"/>
      <c r="I21" s="39"/>
      <c r="J21" s="44"/>
      <c r="K21" s="39"/>
      <c r="L21" s="39"/>
      <c r="M21" s="14"/>
      <c r="N21" s="65">
        <v>45874</v>
      </c>
      <c r="O21" s="66" t="s">
        <v>18</v>
      </c>
      <c r="P21" s="67">
        <v>40.9</v>
      </c>
      <c r="Q21" s="65" t="s">
        <v>19</v>
      </c>
      <c r="R21" s="37" t="s">
        <v>51</v>
      </c>
      <c r="S21" s="14"/>
      <c r="T21" s="14"/>
      <c r="U21" s="14"/>
      <c r="V21" s="14"/>
      <c r="W21" s="14"/>
      <c r="X21" s="14"/>
      <c r="Y21" s="14"/>
      <c r="Z21" s="14"/>
    </row>
    <row r="22" spans="1:26" ht="15" customHeight="1" x14ac:dyDescent="0.35">
      <c r="A22" s="14"/>
      <c r="B22" s="39"/>
      <c r="C22" s="39"/>
      <c r="D22" s="44"/>
      <c r="E22" s="39"/>
      <c r="F22" s="39"/>
      <c r="G22" s="42"/>
      <c r="H22" s="39"/>
      <c r="I22" s="39"/>
      <c r="J22" s="44"/>
      <c r="K22" s="39"/>
      <c r="L22" s="39"/>
      <c r="M22" s="14"/>
      <c r="N22" s="65">
        <v>45874</v>
      </c>
      <c r="O22" s="46" t="s">
        <v>97</v>
      </c>
      <c r="P22" s="49">
        <v>66.900000000000006</v>
      </c>
      <c r="Q22" s="65" t="s">
        <v>19</v>
      </c>
      <c r="R22" s="37" t="s">
        <v>51</v>
      </c>
      <c r="S22" s="14"/>
      <c r="T22" s="14"/>
      <c r="U22" s="14"/>
      <c r="V22" s="14"/>
      <c r="W22" s="14"/>
      <c r="X22" s="14"/>
      <c r="Y22" s="14"/>
      <c r="Z22" s="14"/>
    </row>
    <row r="23" spans="1:26" ht="15" customHeight="1" x14ac:dyDescent="0.35">
      <c r="A23" s="14"/>
      <c r="B23" s="39"/>
      <c r="C23" s="39"/>
      <c r="D23" s="44"/>
      <c r="E23" s="39"/>
      <c r="F23" s="39"/>
      <c r="G23" s="42"/>
      <c r="H23" s="39"/>
      <c r="I23" s="39"/>
      <c r="J23" s="44"/>
      <c r="K23" s="39"/>
      <c r="L23" s="39"/>
      <c r="M23" s="14"/>
      <c r="N23" s="65">
        <v>45874</v>
      </c>
      <c r="O23" s="46" t="s">
        <v>102</v>
      </c>
      <c r="P23" s="49">
        <v>59.99</v>
      </c>
      <c r="Q23" s="46" t="s">
        <v>19</v>
      </c>
      <c r="R23" s="37" t="s">
        <v>51</v>
      </c>
      <c r="S23" s="14"/>
      <c r="T23" s="14"/>
      <c r="U23" s="14"/>
      <c r="V23" s="14"/>
      <c r="W23" s="14"/>
      <c r="X23" s="14"/>
      <c r="Y23" s="14"/>
      <c r="Z23" s="14"/>
    </row>
    <row r="24" spans="1:26" ht="15" customHeight="1" x14ac:dyDescent="0.35">
      <c r="A24" s="14"/>
      <c r="B24" s="39"/>
      <c r="C24" s="39"/>
      <c r="D24" s="44"/>
      <c r="E24" s="39"/>
      <c r="F24" s="39"/>
      <c r="G24" s="42"/>
      <c r="H24" s="39"/>
      <c r="I24" s="39"/>
      <c r="J24" s="44"/>
      <c r="K24" s="39"/>
      <c r="L24" s="39"/>
      <c r="M24" s="14"/>
      <c r="N24" s="65">
        <v>45874</v>
      </c>
      <c r="O24" s="45" t="s">
        <v>103</v>
      </c>
      <c r="P24" s="50">
        <v>119.9</v>
      </c>
      <c r="Q24" s="37" t="s">
        <v>11</v>
      </c>
      <c r="R24" s="37" t="s">
        <v>51</v>
      </c>
      <c r="S24" s="14"/>
      <c r="T24" s="14"/>
      <c r="U24" s="14"/>
      <c r="V24" s="14"/>
      <c r="W24" s="14"/>
      <c r="X24" s="14"/>
      <c r="Y24" s="14"/>
      <c r="Z24" s="14"/>
    </row>
    <row r="25" spans="1:26" ht="15" customHeight="1" x14ac:dyDescent="0.35">
      <c r="A25" s="14"/>
      <c r="B25" s="39"/>
      <c r="C25" s="39"/>
      <c r="D25" s="44"/>
      <c r="E25" s="39"/>
      <c r="F25" s="39"/>
      <c r="G25" s="42"/>
      <c r="H25" s="39"/>
      <c r="I25" s="39"/>
      <c r="J25" s="44"/>
      <c r="K25" s="39"/>
      <c r="L25" s="39"/>
      <c r="M25" s="14"/>
      <c r="N25" s="65">
        <v>45874</v>
      </c>
      <c r="O25" s="45" t="s">
        <v>95</v>
      </c>
      <c r="P25" s="50">
        <v>50.08</v>
      </c>
      <c r="Q25" s="37" t="s">
        <v>11</v>
      </c>
      <c r="R25" s="37" t="s">
        <v>51</v>
      </c>
      <c r="S25" s="14"/>
      <c r="T25" s="14"/>
      <c r="U25" s="14"/>
      <c r="V25" s="14"/>
      <c r="W25" s="14"/>
      <c r="X25" s="14"/>
      <c r="Y25" s="14"/>
      <c r="Z25" s="14"/>
    </row>
    <row r="26" spans="1:26" ht="15" customHeight="1" x14ac:dyDescent="0.35">
      <c r="A26" s="14"/>
      <c r="B26" s="39"/>
      <c r="C26" s="39"/>
      <c r="D26" s="44"/>
      <c r="E26" s="39"/>
      <c r="F26" s="39"/>
      <c r="G26" s="42"/>
      <c r="H26" s="39"/>
      <c r="I26" s="39"/>
      <c r="J26" s="44"/>
      <c r="K26" s="39"/>
      <c r="L26" s="39"/>
      <c r="M26" s="14"/>
      <c r="N26" s="65">
        <v>45874</v>
      </c>
      <c r="O26" s="46" t="s">
        <v>104</v>
      </c>
      <c r="P26" s="49">
        <v>38.36</v>
      </c>
      <c r="Q26" s="37" t="s">
        <v>11</v>
      </c>
      <c r="R26" s="37" t="s">
        <v>51</v>
      </c>
      <c r="S26" s="14"/>
      <c r="T26" s="14"/>
      <c r="U26" s="14"/>
      <c r="V26" s="14"/>
      <c r="W26" s="14"/>
      <c r="X26" s="14"/>
      <c r="Y26" s="14"/>
      <c r="Z26" s="14"/>
    </row>
    <row r="27" spans="1:26" ht="15" customHeight="1" x14ac:dyDescent="0.35">
      <c r="A27" s="14"/>
      <c r="B27" s="39"/>
      <c r="C27" s="39"/>
      <c r="D27" s="44"/>
      <c r="E27" s="39"/>
      <c r="F27" s="39"/>
      <c r="G27" s="42"/>
      <c r="H27" s="39"/>
      <c r="I27" s="39"/>
      <c r="J27" s="44"/>
      <c r="K27" s="39"/>
      <c r="L27" s="39"/>
      <c r="M27" s="14"/>
      <c r="N27" s="65">
        <v>45874</v>
      </c>
      <c r="O27" s="46" t="s">
        <v>116</v>
      </c>
      <c r="P27" s="50">
        <v>89.9</v>
      </c>
      <c r="Q27" s="37" t="s">
        <v>75</v>
      </c>
      <c r="R27" s="37" t="s">
        <v>51</v>
      </c>
      <c r="S27" s="14"/>
      <c r="T27" s="14"/>
      <c r="U27" s="14"/>
      <c r="V27" s="14"/>
      <c r="W27" s="14"/>
      <c r="X27" s="14"/>
      <c r="Y27" s="14"/>
      <c r="Z27" s="14"/>
    </row>
    <row r="28" spans="1:26" ht="15" customHeight="1" x14ac:dyDescent="0.35">
      <c r="A28" s="14"/>
      <c r="B28" s="39"/>
      <c r="C28" s="39"/>
      <c r="D28" s="44"/>
      <c r="E28" s="39"/>
      <c r="F28" s="39"/>
      <c r="G28" s="42"/>
      <c r="H28" s="39"/>
      <c r="I28" s="39"/>
      <c r="J28" s="44"/>
      <c r="K28" s="39"/>
      <c r="L28" s="39"/>
      <c r="M28" s="14"/>
      <c r="N28" s="65">
        <v>45874</v>
      </c>
      <c r="O28" s="46" t="s">
        <v>99</v>
      </c>
      <c r="P28" s="50">
        <v>89.9</v>
      </c>
      <c r="Q28" s="37" t="s">
        <v>75</v>
      </c>
      <c r="R28" s="37" t="s">
        <v>51</v>
      </c>
      <c r="S28" s="14"/>
      <c r="T28" s="14"/>
      <c r="U28" s="14"/>
      <c r="V28" s="14"/>
      <c r="W28" s="14"/>
      <c r="X28" s="14"/>
      <c r="Y28" s="14"/>
      <c r="Z28" s="14"/>
    </row>
    <row r="29" spans="1:26" ht="15" customHeight="1" x14ac:dyDescent="0.35">
      <c r="A29" s="14"/>
      <c r="B29" s="39"/>
      <c r="C29" s="39"/>
      <c r="D29" s="44"/>
      <c r="E29" s="39"/>
      <c r="F29" s="39"/>
      <c r="G29" s="42"/>
      <c r="H29" s="39"/>
      <c r="I29" s="39"/>
      <c r="J29" s="44"/>
      <c r="K29" s="39"/>
      <c r="L29" s="39"/>
      <c r="M29" s="14"/>
      <c r="N29" s="65"/>
      <c r="O29" s="46"/>
      <c r="P29" s="49"/>
      <c r="Q29" s="46"/>
      <c r="R29" s="37"/>
      <c r="S29" s="14"/>
      <c r="T29" s="14"/>
      <c r="U29" s="14"/>
      <c r="V29" s="14"/>
      <c r="W29" s="14"/>
      <c r="X29" s="14"/>
      <c r="Y29" s="14"/>
      <c r="Z29" s="14"/>
    </row>
    <row r="30" spans="1:26" ht="15" customHeight="1" x14ac:dyDescent="0.35">
      <c r="A30" s="14"/>
      <c r="B30" s="39"/>
      <c r="C30" s="39"/>
      <c r="D30" s="44"/>
      <c r="E30" s="39"/>
      <c r="F30" s="39"/>
      <c r="G30" s="42"/>
      <c r="H30" s="39"/>
      <c r="I30" s="39"/>
      <c r="J30" s="44"/>
      <c r="K30" s="39"/>
      <c r="L30" s="39"/>
      <c r="M30" s="14"/>
      <c r="N30" s="65"/>
      <c r="O30" s="46"/>
      <c r="P30" s="49"/>
      <c r="Q30" s="46"/>
      <c r="R30" s="37"/>
      <c r="S30" s="14"/>
      <c r="T30" s="14"/>
      <c r="U30" s="14"/>
      <c r="V30" s="14"/>
      <c r="W30" s="14"/>
      <c r="X30" s="14"/>
      <c r="Y30" s="14"/>
      <c r="Z30" s="14"/>
    </row>
    <row r="31" spans="1:26" ht="15" customHeight="1" x14ac:dyDescent="0.35">
      <c r="A31" s="14"/>
      <c r="B31" s="39"/>
      <c r="C31" s="39"/>
      <c r="D31" s="44"/>
      <c r="E31" s="39"/>
      <c r="F31" s="39"/>
      <c r="G31" s="42"/>
      <c r="H31" s="39"/>
      <c r="I31" s="39"/>
      <c r="J31" s="44"/>
      <c r="K31" s="39"/>
      <c r="L31" s="39"/>
      <c r="M31" s="14"/>
      <c r="N31" s="37"/>
      <c r="O31" s="46"/>
      <c r="P31" s="49"/>
      <c r="Q31" s="46"/>
      <c r="R31" s="37"/>
      <c r="S31" s="14"/>
      <c r="T31" s="14"/>
      <c r="U31" s="14"/>
      <c r="V31" s="14"/>
      <c r="W31" s="14"/>
      <c r="X31" s="14"/>
      <c r="Y31" s="14"/>
      <c r="Z31" s="14"/>
    </row>
    <row r="32" spans="1:26" ht="15" customHeight="1" x14ac:dyDescent="0.35">
      <c r="A32" s="14"/>
      <c r="B32" s="39"/>
      <c r="C32" s="39"/>
      <c r="D32" s="44"/>
      <c r="E32" s="39"/>
      <c r="F32" s="39"/>
      <c r="G32" s="42"/>
      <c r="H32" s="39"/>
      <c r="I32" s="39"/>
      <c r="J32" s="44"/>
      <c r="K32" s="39"/>
      <c r="L32" s="39"/>
      <c r="M32" s="14"/>
      <c r="N32" s="37"/>
      <c r="O32" s="46"/>
      <c r="P32" s="49"/>
      <c r="Q32" s="46"/>
      <c r="R32" s="64"/>
      <c r="S32" s="14"/>
      <c r="T32" s="14"/>
      <c r="U32" s="14"/>
      <c r="V32" s="14"/>
      <c r="W32" s="14"/>
      <c r="X32" s="14"/>
      <c r="Y32" s="14"/>
      <c r="Z32" s="14"/>
    </row>
    <row r="33" spans="1:26" ht="15" customHeight="1" x14ac:dyDescent="0.35">
      <c r="A33" s="14"/>
      <c r="B33" s="39"/>
      <c r="C33" s="39"/>
      <c r="D33" s="44"/>
      <c r="E33" s="39"/>
      <c r="F33" s="39"/>
      <c r="G33" s="42"/>
      <c r="H33" s="39"/>
      <c r="I33" s="39"/>
      <c r="J33" s="44"/>
      <c r="K33" s="39"/>
      <c r="L33" s="39"/>
      <c r="M33" s="14"/>
      <c r="N33" s="37"/>
      <c r="O33" s="46"/>
      <c r="P33" s="49"/>
      <c r="Q33" s="46"/>
      <c r="R33" s="37"/>
      <c r="S33" s="14"/>
      <c r="T33" s="14"/>
      <c r="U33" s="14"/>
      <c r="V33" s="14"/>
      <c r="W33" s="14"/>
      <c r="X33" s="14"/>
      <c r="Y33" s="14"/>
      <c r="Z33" s="14"/>
    </row>
    <row r="34" spans="1:26" ht="15" customHeight="1" x14ac:dyDescent="0.35">
      <c r="A34" s="14"/>
      <c r="B34" s="39"/>
      <c r="C34" s="39"/>
      <c r="D34" s="44"/>
      <c r="E34" s="39"/>
      <c r="F34" s="39"/>
      <c r="G34" s="42"/>
      <c r="H34" s="39"/>
      <c r="I34" s="39"/>
      <c r="J34" s="44"/>
      <c r="K34" s="39"/>
      <c r="L34" s="39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x14ac:dyDescent="0.35">
      <c r="A35" s="14"/>
      <c r="B35" s="39"/>
      <c r="C35" s="39"/>
      <c r="D35" s="44"/>
      <c r="E35" s="39"/>
      <c r="F35" s="39"/>
      <c r="G35" s="42"/>
      <c r="H35" s="39"/>
      <c r="I35" s="39"/>
      <c r="J35" s="44"/>
      <c r="K35" s="39"/>
      <c r="L35" s="39"/>
      <c r="M35" s="14"/>
      <c r="N35" s="14"/>
      <c r="O35" s="38" t="s">
        <v>98</v>
      </c>
      <c r="P35" s="47">
        <f>SUMIF(F6:F35, "Crédito", D6:D35) + SUMIF(L6:L35, "Crédito", J6:J35) + SUMIF(R16:R33, "Crédito", P16:P33)</f>
        <v>555.93000000000006</v>
      </c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x14ac:dyDescent="0.3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x14ac:dyDescent="0.35">
      <c r="D37"/>
    </row>
    <row r="38" spans="1:26" x14ac:dyDescent="0.35">
      <c r="D38"/>
    </row>
    <row r="39" spans="1:26" x14ac:dyDescent="0.35">
      <c r="D39"/>
    </row>
    <row r="40" spans="1:26" x14ac:dyDescent="0.35">
      <c r="D40"/>
    </row>
    <row r="41" spans="1:26" x14ac:dyDescent="0.35">
      <c r="D41"/>
    </row>
    <row r="42" spans="1:26" x14ac:dyDescent="0.35">
      <c r="D42"/>
    </row>
    <row r="43" spans="1:26" x14ac:dyDescent="0.35">
      <c r="D43"/>
    </row>
    <row r="44" spans="1:26" x14ac:dyDescent="0.35">
      <c r="D44"/>
    </row>
  </sheetData>
  <mergeCells count="6">
    <mergeCell ref="N20:R20"/>
    <mergeCell ref="B2:L2"/>
    <mergeCell ref="B3:L3"/>
    <mergeCell ref="B4:F4"/>
    <mergeCell ref="H4:L4"/>
    <mergeCell ref="N14:R14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76806F8-0EC6-4903-98F6-170F69D55CEE}">
          <x14:formula1>
            <xm:f>'Planilha apoio'!$A$2:$A$13</xm:f>
          </x14:formula1>
          <xm:sqref>E44:F1048576</xm:sqref>
        </x14:dataValidation>
        <x14:dataValidation type="list" allowBlank="1" showInputMessage="1" showErrorMessage="1" xr:uid="{88027645-AF86-4CE4-A002-73CCA9BEC80B}">
          <x14:formula1>
            <xm:f>'Planilha apoio'!#REF!</xm:f>
          </x14:formula1>
          <xm:sqref>G44:G1048576 M16</xm:sqref>
        </x14:dataValidation>
        <x14:dataValidation type="list" allowBlank="1" showInputMessage="1" showErrorMessage="1" xr:uid="{39D85141-4186-4408-B5D4-B47C17CA8225}">
          <x14:formula1>
            <xm:f>'Planilha apoio'!$B$3:$B$8</xm:f>
          </x14:formula1>
          <xm:sqref>L6:L35 F6:F35</xm:sqref>
        </x14:dataValidation>
        <x14:dataValidation type="list" allowBlank="1" showInputMessage="1" showErrorMessage="1" xr:uid="{8989F2A6-31B9-4BF7-9D74-C949C8045E2B}">
          <x14:formula1>
            <xm:f>'Planilha apoio'!$B$2:$B$8</xm:f>
          </x14:formula1>
          <xm:sqref>R16:R19</xm:sqref>
        </x14:dataValidation>
        <x14:dataValidation type="list" allowBlank="1" showInputMessage="1" showErrorMessage="1" xr:uid="{7BE93BA8-9DA2-492E-B84D-991AEF1813CC}">
          <x14:formula1>
            <xm:f>'Planilha apoio'!$A$2:$A$42</xm:f>
          </x14:formula1>
          <xm:sqref>Q16:Q19 R34:R35 E6:E35 K6:K35 Q34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EDC2F-DFEE-4B19-8452-BDBB6A313D0E}">
  <dimension ref="A1:Z44"/>
  <sheetViews>
    <sheetView zoomScaleNormal="100" workbookViewId="0">
      <selection activeCell="O28" sqref="O28"/>
    </sheetView>
  </sheetViews>
  <sheetFormatPr defaultRowHeight="14.5" x14ac:dyDescent="0.35"/>
  <cols>
    <col min="1" max="1" width="1.36328125" customWidth="1"/>
    <col min="2" max="2" width="7.1796875" bestFit="1" customWidth="1"/>
    <col min="3" max="3" width="19.54296875" bestFit="1" customWidth="1"/>
    <col min="4" max="4" width="10.54296875" style="1" bestFit="1" customWidth="1"/>
    <col min="5" max="5" width="11.26953125" bestFit="1" customWidth="1"/>
    <col min="6" max="6" width="11.26953125" customWidth="1"/>
    <col min="7" max="7" width="2.54296875" customWidth="1"/>
    <col min="8" max="8" width="7.1796875" bestFit="1" customWidth="1"/>
    <col min="9" max="9" width="19.54296875" bestFit="1" customWidth="1"/>
    <col min="10" max="10" width="10.54296875" bestFit="1" customWidth="1"/>
    <col min="11" max="11" width="11.26953125" bestFit="1" customWidth="1"/>
    <col min="12" max="12" width="11.26953125" customWidth="1"/>
    <col min="13" max="13" width="2.7265625" customWidth="1"/>
    <col min="14" max="14" width="9.54296875" bestFit="1" customWidth="1"/>
    <col min="15" max="15" width="19.36328125" bestFit="1" customWidth="1"/>
    <col min="16" max="16" width="11.6328125" customWidth="1"/>
    <col min="17" max="17" width="11.6328125" bestFit="1" customWidth="1"/>
    <col min="18" max="18" width="11.6328125" customWidth="1"/>
    <col min="19" max="19" width="12.1796875" bestFit="1" customWidth="1"/>
    <col min="21" max="21" width="3.7265625" customWidth="1"/>
  </cols>
  <sheetData>
    <row r="1" spans="1:26" ht="7" customHeight="1" thickBot="1" x14ac:dyDescent="0.4">
      <c r="A1" s="14"/>
      <c r="B1" s="14"/>
      <c r="C1" s="14"/>
      <c r="D1" s="15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x14ac:dyDescent="0.35">
      <c r="A2" s="14"/>
      <c r="B2" s="79">
        <v>46235</v>
      </c>
      <c r="C2" s="80"/>
      <c r="D2" s="80"/>
      <c r="E2" s="80"/>
      <c r="F2" s="80"/>
      <c r="G2" s="80"/>
      <c r="H2" s="80"/>
      <c r="I2" s="80"/>
      <c r="J2" s="80"/>
      <c r="K2" s="80"/>
      <c r="L2" s="81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5" thickBot="1" x14ac:dyDescent="0.4">
      <c r="A3" s="14"/>
      <c r="B3" s="82" t="s">
        <v>81</v>
      </c>
      <c r="C3" s="83"/>
      <c r="D3" s="83"/>
      <c r="E3" s="83"/>
      <c r="F3" s="83"/>
      <c r="G3" s="84"/>
      <c r="H3" s="83"/>
      <c r="I3" s="83"/>
      <c r="J3" s="83"/>
      <c r="K3" s="83"/>
      <c r="L3" s="85"/>
      <c r="M3" s="35"/>
      <c r="N3" s="41" t="s">
        <v>82</v>
      </c>
      <c r="O3" s="8" t="s">
        <v>83</v>
      </c>
      <c r="P3" s="8" t="s">
        <v>84</v>
      </c>
      <c r="Q3" s="8" t="s">
        <v>85</v>
      </c>
      <c r="R3" s="14"/>
      <c r="S3" s="14"/>
      <c r="T3" s="14"/>
      <c r="U3" s="14"/>
      <c r="V3" s="14"/>
      <c r="W3" s="14"/>
      <c r="X3" s="14"/>
      <c r="Y3" s="14"/>
      <c r="Z3" s="14"/>
    </row>
    <row r="4" spans="1:26" ht="15" thickBot="1" x14ac:dyDescent="0.4">
      <c r="A4" s="14"/>
      <c r="B4" s="86" t="s">
        <v>86</v>
      </c>
      <c r="C4" s="87"/>
      <c r="D4" s="87"/>
      <c r="E4" s="87"/>
      <c r="F4" s="88"/>
      <c r="G4" s="14"/>
      <c r="H4" s="89" t="s">
        <v>87</v>
      </c>
      <c r="I4" s="90"/>
      <c r="J4" s="90"/>
      <c r="K4" s="90"/>
      <c r="L4" s="91"/>
      <c r="M4" s="35"/>
      <c r="N4" s="41" t="s">
        <v>88</v>
      </c>
      <c r="O4" s="40">
        <v>3000</v>
      </c>
      <c r="Q4" s="6">
        <f>SUM(O4+P4)</f>
        <v>3000</v>
      </c>
      <c r="R4" s="14"/>
      <c r="S4" s="14"/>
      <c r="T4" s="14"/>
      <c r="U4" s="14"/>
      <c r="V4" s="14"/>
      <c r="W4" s="14"/>
      <c r="X4" s="14"/>
      <c r="Y4" s="14"/>
      <c r="Z4" s="14"/>
    </row>
    <row r="5" spans="1:26" ht="15" customHeight="1" x14ac:dyDescent="0.35">
      <c r="A5" s="35"/>
      <c r="B5" s="52" t="s">
        <v>4</v>
      </c>
      <c r="C5" s="52" t="s">
        <v>5</v>
      </c>
      <c r="D5" s="53" t="s">
        <v>6</v>
      </c>
      <c r="E5" s="52" t="s">
        <v>7</v>
      </c>
      <c r="F5" s="52" t="s">
        <v>106</v>
      </c>
      <c r="G5" s="14"/>
      <c r="H5" s="52" t="s">
        <v>4</v>
      </c>
      <c r="I5" s="52" t="s">
        <v>5</v>
      </c>
      <c r="J5" s="53" t="s">
        <v>6</v>
      </c>
      <c r="K5" s="52" t="s">
        <v>7</v>
      </c>
      <c r="L5" s="52" t="s">
        <v>106</v>
      </c>
      <c r="M5" s="14"/>
      <c r="N5" s="41" t="s">
        <v>89</v>
      </c>
      <c r="O5" s="40">
        <v>2000</v>
      </c>
      <c r="P5" s="6"/>
      <c r="Q5" s="6">
        <f>SUM(O5+P5)</f>
        <v>2000</v>
      </c>
      <c r="R5" s="14"/>
      <c r="S5" s="14"/>
      <c r="T5" s="14"/>
      <c r="U5" s="14"/>
      <c r="V5" s="14"/>
      <c r="W5" s="14"/>
      <c r="X5" s="14"/>
      <c r="Y5" s="14"/>
      <c r="Z5" s="14"/>
    </row>
    <row r="6" spans="1:26" ht="15" customHeight="1" x14ac:dyDescent="0.35">
      <c r="A6" s="35"/>
      <c r="B6" s="37"/>
      <c r="C6" s="39"/>
      <c r="D6" s="44"/>
      <c r="E6" s="39"/>
      <c r="F6" s="39"/>
      <c r="G6" s="42"/>
      <c r="H6" s="37"/>
      <c r="I6" s="39"/>
      <c r="J6" s="44"/>
      <c r="K6" s="39"/>
      <c r="L6" s="39"/>
      <c r="M6" s="35"/>
      <c r="N6" s="41" t="s">
        <v>101</v>
      </c>
      <c r="O6" s="40">
        <v>1012</v>
      </c>
      <c r="P6" s="41" t="s">
        <v>85</v>
      </c>
      <c r="Q6" s="6">
        <f>SUM(Q4:Q5)</f>
        <v>5000</v>
      </c>
      <c r="R6" s="14"/>
      <c r="S6" s="14"/>
      <c r="T6" s="14"/>
      <c r="U6" s="14"/>
      <c r="V6" s="14"/>
      <c r="W6" s="14"/>
      <c r="X6" s="14"/>
      <c r="Y6" s="14"/>
      <c r="Z6" s="14"/>
    </row>
    <row r="7" spans="1:26" ht="15" customHeight="1" x14ac:dyDescent="0.35">
      <c r="A7" s="35"/>
      <c r="B7" s="37"/>
      <c r="C7" s="39"/>
      <c r="D7" s="44"/>
      <c r="E7" s="39"/>
      <c r="F7" s="39"/>
      <c r="G7" s="42"/>
      <c r="H7" s="37"/>
      <c r="I7" s="39"/>
      <c r="J7" s="44"/>
      <c r="K7" s="39"/>
      <c r="L7" s="39"/>
      <c r="M7" s="35"/>
      <c r="N7" s="14"/>
      <c r="O7" s="14"/>
      <c r="P7" s="41" t="s">
        <v>90</v>
      </c>
      <c r="Q7" s="6">
        <f>SUM(Q6+O6)</f>
        <v>6012</v>
      </c>
      <c r="R7" s="14"/>
      <c r="S7" s="14"/>
      <c r="T7" s="14"/>
      <c r="U7" s="14"/>
      <c r="V7" s="14"/>
      <c r="W7" s="14"/>
      <c r="X7" s="14"/>
      <c r="Y7" s="14"/>
      <c r="Z7" s="14"/>
    </row>
    <row r="8" spans="1:26" ht="15" customHeight="1" x14ac:dyDescent="0.35">
      <c r="A8" s="35"/>
      <c r="B8" s="37"/>
      <c r="C8" s="39"/>
      <c r="D8" s="44"/>
      <c r="E8" s="39"/>
      <c r="F8" s="39"/>
      <c r="G8" s="42"/>
      <c r="H8" s="37"/>
      <c r="I8" s="39"/>
      <c r="J8" s="44"/>
      <c r="K8" s="39"/>
      <c r="L8" s="39"/>
      <c r="M8" s="35"/>
      <c r="N8" s="42"/>
      <c r="O8" s="15"/>
      <c r="P8" s="15"/>
      <c r="Q8" s="15"/>
      <c r="R8" s="15"/>
      <c r="S8" s="14"/>
      <c r="T8" s="14"/>
      <c r="U8" s="14"/>
      <c r="V8" s="14"/>
      <c r="W8" s="14"/>
      <c r="X8" s="14"/>
      <c r="Y8" s="14"/>
      <c r="Z8" s="14"/>
    </row>
    <row r="9" spans="1:26" ht="15" customHeight="1" thickBot="1" x14ac:dyDescent="0.4">
      <c r="A9" s="35"/>
      <c r="B9" s="39"/>
      <c r="C9" s="39"/>
      <c r="D9" s="44"/>
      <c r="E9" s="39"/>
      <c r="F9" s="39"/>
      <c r="G9" s="42"/>
      <c r="H9" s="39"/>
      <c r="I9" s="56"/>
      <c r="J9" s="44"/>
      <c r="K9" s="39"/>
      <c r="L9" s="39"/>
      <c r="M9" s="35"/>
      <c r="N9" s="43" t="s">
        <v>91</v>
      </c>
      <c r="O9" s="24">
        <v>1000</v>
      </c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15" customHeight="1" thickBot="1" x14ac:dyDescent="0.4">
      <c r="A10" s="35"/>
      <c r="B10" s="39"/>
      <c r="C10" s="39"/>
      <c r="D10" s="44"/>
      <c r="E10" s="39"/>
      <c r="F10" s="39"/>
      <c r="G10" s="42"/>
      <c r="H10" s="54"/>
      <c r="I10" s="58"/>
      <c r="J10" s="55"/>
      <c r="K10" s="39"/>
      <c r="L10" s="39"/>
      <c r="M10" s="35"/>
      <c r="N10" s="43" t="s">
        <v>92</v>
      </c>
      <c r="O10" s="6">
        <f>SUM(P16:P19) + SUM(P21:P33)</f>
        <v>2325.0100000000002</v>
      </c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15" customHeight="1" x14ac:dyDescent="0.35">
      <c r="A11" s="35"/>
      <c r="B11" s="39"/>
      <c r="C11" s="39"/>
      <c r="D11" s="44"/>
      <c r="E11" s="39"/>
      <c r="F11" s="39"/>
      <c r="G11" s="42"/>
      <c r="H11" s="39"/>
      <c r="I11" s="57"/>
      <c r="J11" s="44"/>
      <c r="K11" s="39"/>
      <c r="L11" s="39"/>
      <c r="M11" s="35"/>
      <c r="N11" s="43" t="s">
        <v>93</v>
      </c>
      <c r="O11" s="6" cm="1">
        <f t="array" ref="O11">SUM(D6:D35+J6:J35)</f>
        <v>0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15" customHeight="1" x14ac:dyDescent="0.35">
      <c r="A12" s="35"/>
      <c r="B12" s="39"/>
      <c r="C12" s="39"/>
      <c r="D12" s="44"/>
      <c r="E12" s="39"/>
      <c r="F12" s="39"/>
      <c r="G12" s="42"/>
      <c r="H12" s="39"/>
      <c r="I12" s="39"/>
      <c r="J12" s="44"/>
      <c r="K12" s="39"/>
      <c r="L12" s="39"/>
      <c r="M12" s="35"/>
      <c r="N12" s="43" t="s">
        <v>24</v>
      </c>
      <c r="O12" s="6">
        <f>SUM(O9:O11)</f>
        <v>3325.01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15" customHeight="1" thickBot="1" x14ac:dyDescent="0.4">
      <c r="A13" s="35"/>
      <c r="B13" s="39"/>
      <c r="C13" s="39"/>
      <c r="D13" s="44"/>
      <c r="E13" s="39"/>
      <c r="F13" s="39"/>
      <c r="G13" s="42"/>
      <c r="H13" s="39"/>
      <c r="I13" s="39"/>
      <c r="J13" s="44"/>
      <c r="K13" s="39"/>
      <c r="L13" s="39"/>
      <c r="M13" s="35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15" customHeight="1" thickBot="1" x14ac:dyDescent="0.4">
      <c r="A14" s="35"/>
      <c r="B14" s="37"/>
      <c r="C14" s="39"/>
      <c r="D14" s="44"/>
      <c r="E14" s="39"/>
      <c r="F14" s="39"/>
      <c r="G14" s="42"/>
      <c r="H14" s="37"/>
      <c r="I14" s="39"/>
      <c r="J14" s="44"/>
      <c r="K14" s="39"/>
      <c r="L14" s="39"/>
      <c r="M14" s="35"/>
      <c r="N14" s="76" t="s">
        <v>94</v>
      </c>
      <c r="O14" s="77"/>
      <c r="P14" s="77"/>
      <c r="Q14" s="77"/>
      <c r="R14" s="78"/>
      <c r="S14" s="14"/>
      <c r="T14" s="14"/>
      <c r="U14" s="14"/>
      <c r="V14" s="14"/>
      <c r="W14" s="14"/>
      <c r="X14" s="14"/>
      <c r="Y14" s="14"/>
      <c r="Z14" s="14"/>
    </row>
    <row r="15" spans="1:26" ht="15" customHeight="1" x14ac:dyDescent="0.35">
      <c r="A15" s="35"/>
      <c r="B15" s="37"/>
      <c r="C15" s="39"/>
      <c r="D15" s="44"/>
      <c r="E15" s="39"/>
      <c r="F15" s="39"/>
      <c r="G15" s="42"/>
      <c r="H15" s="37"/>
      <c r="I15" s="39"/>
      <c r="J15" s="44"/>
      <c r="K15" s="39"/>
      <c r="L15" s="39"/>
      <c r="M15" s="35"/>
      <c r="N15" s="59" t="s">
        <v>4</v>
      </c>
      <c r="O15" s="60" t="s">
        <v>5</v>
      </c>
      <c r="P15" s="61" t="s">
        <v>6</v>
      </c>
      <c r="Q15" s="59" t="s">
        <v>7</v>
      </c>
      <c r="R15" s="59" t="s">
        <v>106</v>
      </c>
      <c r="S15" s="14"/>
      <c r="T15" s="14"/>
      <c r="U15" s="14"/>
      <c r="V15" s="14"/>
      <c r="W15" s="14"/>
      <c r="X15" s="14"/>
      <c r="Y15" s="14"/>
      <c r="Z15" s="14"/>
    </row>
    <row r="16" spans="1:26" ht="15" customHeight="1" x14ac:dyDescent="0.35">
      <c r="A16" s="14"/>
      <c r="B16" s="39"/>
      <c r="C16" s="39"/>
      <c r="D16" s="44"/>
      <c r="E16" s="39"/>
      <c r="F16" s="39"/>
      <c r="G16" s="42"/>
      <c r="H16" s="39"/>
      <c r="I16" s="39"/>
      <c r="J16" s="44"/>
      <c r="K16" s="39"/>
      <c r="L16" s="39"/>
      <c r="M16" s="14"/>
      <c r="N16" s="65">
        <v>45874</v>
      </c>
      <c r="O16" s="45" t="s">
        <v>22</v>
      </c>
      <c r="P16" s="50">
        <v>850</v>
      </c>
      <c r="Q16" s="37" t="s">
        <v>22</v>
      </c>
      <c r="R16" s="37" t="s">
        <v>72</v>
      </c>
      <c r="S16" s="14"/>
      <c r="T16" s="14"/>
      <c r="U16" s="14"/>
      <c r="V16" s="14"/>
      <c r="W16" s="14"/>
      <c r="X16" s="14"/>
      <c r="Y16" s="14"/>
      <c r="Z16" s="14"/>
    </row>
    <row r="17" spans="1:26" ht="15" customHeight="1" x14ac:dyDescent="0.35">
      <c r="A17" s="14"/>
      <c r="B17" s="39"/>
      <c r="C17" s="39"/>
      <c r="D17" s="44"/>
      <c r="E17" s="39"/>
      <c r="F17" s="39"/>
      <c r="G17" s="42"/>
      <c r="H17" s="39"/>
      <c r="I17" s="39"/>
      <c r="J17" s="44"/>
      <c r="K17" s="39"/>
      <c r="L17" s="39"/>
      <c r="M17" s="35"/>
      <c r="N17" s="65">
        <v>45874</v>
      </c>
      <c r="O17" s="45" t="s">
        <v>25</v>
      </c>
      <c r="P17" s="50">
        <v>220</v>
      </c>
      <c r="Q17" s="37" t="s">
        <v>25</v>
      </c>
      <c r="R17" s="37" t="s">
        <v>72</v>
      </c>
      <c r="S17" s="14"/>
      <c r="T17" s="14"/>
      <c r="U17" s="14"/>
      <c r="V17" s="14"/>
      <c r="W17" s="14"/>
      <c r="X17" s="14"/>
      <c r="Y17" s="14"/>
      <c r="Z17" s="14"/>
    </row>
    <row r="18" spans="1:26" ht="15" customHeight="1" x14ac:dyDescent="0.35">
      <c r="A18" s="36"/>
      <c r="B18" s="39"/>
      <c r="C18" s="39"/>
      <c r="D18" s="44"/>
      <c r="E18" s="39"/>
      <c r="F18" s="39"/>
      <c r="G18" s="42"/>
      <c r="H18" s="39"/>
      <c r="I18" s="39"/>
      <c r="J18" s="44"/>
      <c r="K18" s="39"/>
      <c r="L18" s="39"/>
      <c r="M18" s="35"/>
      <c r="N18" s="65">
        <v>45874</v>
      </c>
      <c r="O18" s="46" t="s">
        <v>96</v>
      </c>
      <c r="P18" s="50">
        <f>SUM('jan-26'!P35)</f>
        <v>555.93000000000006</v>
      </c>
      <c r="Q18" s="48" t="s">
        <v>60</v>
      </c>
      <c r="R18" s="48" t="s">
        <v>72</v>
      </c>
      <c r="S18" s="14"/>
      <c r="T18" s="14"/>
      <c r="U18" s="14"/>
      <c r="V18" s="14"/>
      <c r="W18" s="14"/>
      <c r="X18" s="14"/>
      <c r="Y18" s="14"/>
      <c r="Z18" s="14"/>
    </row>
    <row r="19" spans="1:26" ht="15" customHeight="1" thickBot="1" x14ac:dyDescent="0.4">
      <c r="A19" s="36"/>
      <c r="B19" s="39"/>
      <c r="C19" s="39"/>
      <c r="D19" s="44"/>
      <c r="E19" s="39"/>
      <c r="F19" s="39"/>
      <c r="G19" s="42"/>
      <c r="H19" s="39"/>
      <c r="I19" s="39"/>
      <c r="J19" s="44"/>
      <c r="K19" s="39"/>
      <c r="L19" s="39"/>
      <c r="M19" s="14"/>
      <c r="N19" s="65">
        <v>45874</v>
      </c>
      <c r="O19" s="62" t="s">
        <v>100</v>
      </c>
      <c r="P19" s="63">
        <v>143.15</v>
      </c>
      <c r="Q19" s="64" t="s">
        <v>59</v>
      </c>
      <c r="R19" s="64" t="s">
        <v>108</v>
      </c>
      <c r="S19" s="14"/>
      <c r="T19" s="14"/>
      <c r="U19" s="14"/>
      <c r="V19" s="14"/>
      <c r="W19" s="14"/>
      <c r="X19" s="14"/>
      <c r="Y19" s="14"/>
      <c r="Z19" s="14"/>
    </row>
    <row r="20" spans="1:26" ht="15" customHeight="1" thickBot="1" x14ac:dyDescent="0.4">
      <c r="A20" s="14"/>
      <c r="B20" s="39"/>
      <c r="C20" s="39"/>
      <c r="D20" s="44"/>
      <c r="E20" s="39"/>
      <c r="F20" s="39"/>
      <c r="G20" s="42"/>
      <c r="H20" s="39"/>
      <c r="I20" s="39"/>
      <c r="J20" s="44"/>
      <c r="K20" s="39"/>
      <c r="L20" s="39"/>
      <c r="M20" s="14"/>
      <c r="N20" s="76" t="s">
        <v>105</v>
      </c>
      <c r="O20" s="77"/>
      <c r="P20" s="77"/>
      <c r="Q20" s="77"/>
      <c r="R20" s="78"/>
      <c r="S20" s="14"/>
      <c r="T20" s="14"/>
      <c r="U20" s="14"/>
      <c r="V20" s="14"/>
      <c r="W20" s="14"/>
      <c r="X20" s="14"/>
      <c r="Y20" s="14"/>
      <c r="Z20" s="14"/>
    </row>
    <row r="21" spans="1:26" ht="15" customHeight="1" x14ac:dyDescent="0.35">
      <c r="A21" s="14"/>
      <c r="B21" s="39"/>
      <c r="C21" s="39"/>
      <c r="D21" s="44"/>
      <c r="E21" s="39"/>
      <c r="F21" s="39"/>
      <c r="G21" s="42"/>
      <c r="H21" s="39"/>
      <c r="I21" s="39"/>
      <c r="J21" s="44"/>
      <c r="K21" s="39"/>
      <c r="L21" s="39"/>
      <c r="M21" s="14"/>
      <c r="N21" s="65">
        <v>45905</v>
      </c>
      <c r="O21" s="66" t="s">
        <v>18</v>
      </c>
      <c r="P21" s="67">
        <v>40.9</v>
      </c>
      <c r="Q21" s="65" t="s">
        <v>19</v>
      </c>
      <c r="R21" s="37" t="s">
        <v>51</v>
      </c>
      <c r="S21" s="14"/>
      <c r="T21" s="14"/>
      <c r="U21" s="14"/>
      <c r="V21" s="14"/>
      <c r="W21" s="14"/>
      <c r="X21" s="14"/>
      <c r="Y21" s="14"/>
      <c r="Z21" s="14"/>
    </row>
    <row r="22" spans="1:26" ht="15" customHeight="1" x14ac:dyDescent="0.35">
      <c r="A22" s="14"/>
      <c r="B22" s="39"/>
      <c r="C22" s="39"/>
      <c r="D22" s="44"/>
      <c r="E22" s="39"/>
      <c r="F22" s="39"/>
      <c r="G22" s="42"/>
      <c r="H22" s="39"/>
      <c r="I22" s="39"/>
      <c r="J22" s="44"/>
      <c r="K22" s="39"/>
      <c r="L22" s="39"/>
      <c r="M22" s="14"/>
      <c r="N22" s="65">
        <v>45905</v>
      </c>
      <c r="O22" s="46" t="s">
        <v>97</v>
      </c>
      <c r="P22" s="49">
        <v>66.900000000000006</v>
      </c>
      <c r="Q22" s="65" t="s">
        <v>19</v>
      </c>
      <c r="R22" s="37" t="s">
        <v>51</v>
      </c>
      <c r="S22" s="14"/>
      <c r="T22" s="14"/>
      <c r="U22" s="14"/>
      <c r="V22" s="14"/>
      <c r="W22" s="14"/>
      <c r="X22" s="14"/>
      <c r="Y22" s="14"/>
      <c r="Z22" s="14"/>
    </row>
    <row r="23" spans="1:26" ht="15" customHeight="1" x14ac:dyDescent="0.35">
      <c r="A23" s="14"/>
      <c r="B23" s="39"/>
      <c r="C23" s="39"/>
      <c r="D23" s="44"/>
      <c r="E23" s="39"/>
      <c r="F23" s="39"/>
      <c r="G23" s="42"/>
      <c r="H23" s="39"/>
      <c r="I23" s="39"/>
      <c r="J23" s="44"/>
      <c r="K23" s="39"/>
      <c r="L23" s="39"/>
      <c r="M23" s="14"/>
      <c r="N23" s="65">
        <v>45905</v>
      </c>
      <c r="O23" s="46" t="s">
        <v>102</v>
      </c>
      <c r="P23" s="49">
        <v>59.99</v>
      </c>
      <c r="Q23" s="46" t="s">
        <v>19</v>
      </c>
      <c r="R23" s="37" t="s">
        <v>51</v>
      </c>
      <c r="S23" s="14"/>
      <c r="T23" s="14"/>
      <c r="U23" s="14"/>
      <c r="V23" s="14"/>
      <c r="W23" s="14"/>
      <c r="X23" s="14"/>
      <c r="Y23" s="14"/>
      <c r="Z23" s="14"/>
    </row>
    <row r="24" spans="1:26" ht="15" customHeight="1" x14ac:dyDescent="0.35">
      <c r="A24" s="14"/>
      <c r="B24" s="39"/>
      <c r="C24" s="39"/>
      <c r="D24" s="44"/>
      <c r="E24" s="39"/>
      <c r="F24" s="39"/>
      <c r="G24" s="42"/>
      <c r="H24" s="39"/>
      <c r="I24" s="39"/>
      <c r="J24" s="44"/>
      <c r="K24" s="39"/>
      <c r="L24" s="39"/>
      <c r="M24" s="14"/>
      <c r="N24" s="65">
        <v>45905</v>
      </c>
      <c r="O24" s="45" t="s">
        <v>103</v>
      </c>
      <c r="P24" s="50">
        <v>119.9</v>
      </c>
      <c r="Q24" s="37" t="s">
        <v>11</v>
      </c>
      <c r="R24" s="37" t="s">
        <v>51</v>
      </c>
      <c r="S24" s="14"/>
      <c r="T24" s="14"/>
      <c r="U24" s="14"/>
      <c r="V24" s="14"/>
      <c r="W24" s="14"/>
      <c r="X24" s="14"/>
      <c r="Y24" s="14"/>
      <c r="Z24" s="14"/>
    </row>
    <row r="25" spans="1:26" ht="15" customHeight="1" x14ac:dyDescent="0.35">
      <c r="A25" s="14"/>
      <c r="B25" s="39"/>
      <c r="C25" s="39"/>
      <c r="D25" s="44"/>
      <c r="E25" s="39"/>
      <c r="F25" s="39"/>
      <c r="G25" s="42"/>
      <c r="H25" s="39"/>
      <c r="I25" s="39"/>
      <c r="J25" s="44"/>
      <c r="K25" s="39"/>
      <c r="L25" s="39"/>
      <c r="M25" s="14"/>
      <c r="N25" s="65">
        <v>45905</v>
      </c>
      <c r="O25" s="45" t="s">
        <v>95</v>
      </c>
      <c r="P25" s="50">
        <v>50.08</v>
      </c>
      <c r="Q25" s="37" t="s">
        <v>11</v>
      </c>
      <c r="R25" s="37" t="s">
        <v>51</v>
      </c>
      <c r="S25" s="14"/>
      <c r="T25" s="14"/>
      <c r="U25" s="14"/>
      <c r="V25" s="14"/>
      <c r="W25" s="14"/>
      <c r="X25" s="14"/>
      <c r="Y25" s="14"/>
      <c r="Z25" s="14"/>
    </row>
    <row r="26" spans="1:26" ht="15" customHeight="1" x14ac:dyDescent="0.35">
      <c r="A26" s="14"/>
      <c r="B26" s="39"/>
      <c r="C26" s="39"/>
      <c r="D26" s="44"/>
      <c r="E26" s="39"/>
      <c r="F26" s="39"/>
      <c r="G26" s="42"/>
      <c r="H26" s="39"/>
      <c r="I26" s="39"/>
      <c r="J26" s="44"/>
      <c r="K26" s="39"/>
      <c r="L26" s="39"/>
      <c r="M26" s="14"/>
      <c r="N26" s="65">
        <v>45905</v>
      </c>
      <c r="O26" s="46" t="s">
        <v>104</v>
      </c>
      <c r="P26" s="49">
        <v>38.36</v>
      </c>
      <c r="Q26" s="37" t="s">
        <v>11</v>
      </c>
      <c r="R26" s="37" t="s">
        <v>51</v>
      </c>
      <c r="S26" s="14"/>
      <c r="T26" s="14"/>
      <c r="U26" s="14"/>
      <c r="V26" s="14"/>
      <c r="W26" s="14"/>
      <c r="X26" s="14"/>
      <c r="Y26" s="14"/>
      <c r="Z26" s="14"/>
    </row>
    <row r="27" spans="1:26" ht="15" customHeight="1" x14ac:dyDescent="0.35">
      <c r="A27" s="14"/>
      <c r="B27" s="39"/>
      <c r="C27" s="39"/>
      <c r="D27" s="44"/>
      <c r="E27" s="39"/>
      <c r="F27" s="39"/>
      <c r="G27" s="42"/>
      <c r="H27" s="39"/>
      <c r="I27" s="39"/>
      <c r="J27" s="44"/>
      <c r="K27" s="39"/>
      <c r="L27" s="39"/>
      <c r="M27" s="14"/>
      <c r="N27" s="65">
        <v>45905</v>
      </c>
      <c r="O27" s="46" t="s">
        <v>117</v>
      </c>
      <c r="P27" s="50">
        <v>89.9</v>
      </c>
      <c r="Q27" s="37" t="s">
        <v>75</v>
      </c>
      <c r="R27" s="37" t="s">
        <v>51</v>
      </c>
      <c r="S27" s="14"/>
      <c r="T27" s="14"/>
      <c r="U27" s="14"/>
      <c r="V27" s="14"/>
      <c r="W27" s="14"/>
      <c r="X27" s="14"/>
      <c r="Y27" s="14"/>
      <c r="Z27" s="14"/>
    </row>
    <row r="28" spans="1:26" ht="15" customHeight="1" x14ac:dyDescent="0.35">
      <c r="A28" s="14"/>
      <c r="B28" s="39"/>
      <c r="C28" s="39"/>
      <c r="D28" s="44"/>
      <c r="E28" s="39"/>
      <c r="F28" s="39"/>
      <c r="G28" s="42"/>
      <c r="H28" s="39"/>
      <c r="I28" s="39"/>
      <c r="J28" s="44"/>
      <c r="K28" s="39"/>
      <c r="L28" s="39"/>
      <c r="M28" s="14"/>
      <c r="N28" s="65">
        <v>45905</v>
      </c>
      <c r="O28" s="46" t="s">
        <v>99</v>
      </c>
      <c r="P28" s="50">
        <v>89.9</v>
      </c>
      <c r="Q28" s="37" t="s">
        <v>75</v>
      </c>
      <c r="R28" s="37" t="s">
        <v>51</v>
      </c>
      <c r="S28" s="14"/>
      <c r="T28" s="14"/>
      <c r="U28" s="14"/>
      <c r="V28" s="14"/>
      <c r="W28" s="14"/>
      <c r="X28" s="14"/>
      <c r="Y28" s="14"/>
      <c r="Z28" s="14"/>
    </row>
    <row r="29" spans="1:26" ht="15" customHeight="1" x14ac:dyDescent="0.35">
      <c r="A29" s="14"/>
      <c r="B29" s="39"/>
      <c r="C29" s="39"/>
      <c r="D29" s="44"/>
      <c r="E29" s="39"/>
      <c r="F29" s="39"/>
      <c r="G29" s="42"/>
      <c r="H29" s="39"/>
      <c r="I29" s="39"/>
      <c r="J29" s="44"/>
      <c r="K29" s="39"/>
      <c r="L29" s="39"/>
      <c r="M29" s="14"/>
      <c r="N29" s="65"/>
      <c r="O29" s="46"/>
      <c r="P29" s="49"/>
      <c r="Q29" s="46"/>
      <c r="R29" s="37"/>
      <c r="S29" s="14"/>
      <c r="T29" s="14"/>
      <c r="U29" s="14"/>
      <c r="V29" s="14"/>
      <c r="W29" s="14"/>
      <c r="X29" s="14"/>
      <c r="Y29" s="14"/>
      <c r="Z29" s="14"/>
    </row>
    <row r="30" spans="1:26" ht="15" customHeight="1" x14ac:dyDescent="0.35">
      <c r="A30" s="14"/>
      <c r="B30" s="39"/>
      <c r="C30" s="39"/>
      <c r="D30" s="44"/>
      <c r="E30" s="39"/>
      <c r="F30" s="39"/>
      <c r="G30" s="42"/>
      <c r="H30" s="39"/>
      <c r="I30" s="39"/>
      <c r="J30" s="44"/>
      <c r="K30" s="39"/>
      <c r="L30" s="39"/>
      <c r="M30" s="14"/>
      <c r="N30" s="65"/>
      <c r="O30" s="46"/>
      <c r="P30" s="49"/>
      <c r="Q30" s="46"/>
      <c r="R30" s="37"/>
      <c r="S30" s="14"/>
      <c r="T30" s="14"/>
      <c r="U30" s="14"/>
      <c r="V30" s="14"/>
      <c r="W30" s="14"/>
      <c r="X30" s="14"/>
      <c r="Y30" s="14"/>
      <c r="Z30" s="14"/>
    </row>
    <row r="31" spans="1:26" ht="15" customHeight="1" x14ac:dyDescent="0.35">
      <c r="A31" s="14"/>
      <c r="B31" s="39"/>
      <c r="C31" s="39"/>
      <c r="D31" s="44"/>
      <c r="E31" s="39"/>
      <c r="F31" s="39"/>
      <c r="G31" s="42"/>
      <c r="H31" s="39"/>
      <c r="I31" s="39"/>
      <c r="J31" s="44"/>
      <c r="K31" s="39"/>
      <c r="L31" s="39"/>
      <c r="M31" s="14"/>
      <c r="N31" s="37"/>
      <c r="O31" s="46"/>
      <c r="P31" s="49"/>
      <c r="Q31" s="46"/>
      <c r="R31" s="37"/>
      <c r="S31" s="14"/>
      <c r="T31" s="14"/>
      <c r="U31" s="14"/>
      <c r="V31" s="14"/>
      <c r="W31" s="14"/>
      <c r="X31" s="14"/>
      <c r="Y31" s="14"/>
      <c r="Z31" s="14"/>
    </row>
    <row r="32" spans="1:26" ht="15" customHeight="1" x14ac:dyDescent="0.35">
      <c r="A32" s="14"/>
      <c r="B32" s="39"/>
      <c r="C32" s="39"/>
      <c r="D32" s="44"/>
      <c r="E32" s="39"/>
      <c r="F32" s="39"/>
      <c r="G32" s="42"/>
      <c r="H32" s="39"/>
      <c r="I32" s="39"/>
      <c r="J32" s="44"/>
      <c r="K32" s="39"/>
      <c r="L32" s="39"/>
      <c r="M32" s="14"/>
      <c r="N32" s="37"/>
      <c r="O32" s="46"/>
      <c r="P32" s="49"/>
      <c r="Q32" s="46"/>
      <c r="R32" s="64"/>
      <c r="S32" s="14"/>
      <c r="T32" s="14"/>
      <c r="U32" s="14"/>
      <c r="V32" s="14"/>
      <c r="W32" s="14"/>
      <c r="X32" s="14"/>
      <c r="Y32" s="14"/>
      <c r="Z32" s="14"/>
    </row>
    <row r="33" spans="1:26" ht="15" customHeight="1" x14ac:dyDescent="0.35">
      <c r="A33" s="14"/>
      <c r="B33" s="39"/>
      <c r="C33" s="39"/>
      <c r="D33" s="44"/>
      <c r="E33" s="39"/>
      <c r="F33" s="39"/>
      <c r="G33" s="42"/>
      <c r="H33" s="39"/>
      <c r="I33" s="39"/>
      <c r="J33" s="44"/>
      <c r="K33" s="39"/>
      <c r="L33" s="39"/>
      <c r="M33" s="14"/>
      <c r="N33" s="37"/>
      <c r="O33" s="46"/>
      <c r="P33" s="49"/>
      <c r="Q33" s="46"/>
      <c r="R33" s="37"/>
      <c r="S33" s="14"/>
      <c r="T33" s="14"/>
      <c r="U33" s="14"/>
      <c r="V33" s="14"/>
      <c r="W33" s="14"/>
      <c r="X33" s="14"/>
      <c r="Y33" s="14"/>
      <c r="Z33" s="14"/>
    </row>
    <row r="34" spans="1:26" ht="15" customHeight="1" x14ac:dyDescent="0.35">
      <c r="A34" s="14"/>
      <c r="B34" s="39"/>
      <c r="C34" s="39"/>
      <c r="D34" s="44"/>
      <c r="E34" s="39"/>
      <c r="F34" s="39"/>
      <c r="G34" s="42"/>
      <c r="H34" s="39"/>
      <c r="I34" s="39"/>
      <c r="J34" s="44"/>
      <c r="K34" s="39"/>
      <c r="L34" s="39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x14ac:dyDescent="0.35">
      <c r="A35" s="14"/>
      <c r="B35" s="39"/>
      <c r="C35" s="39"/>
      <c r="D35" s="44"/>
      <c r="E35" s="39"/>
      <c r="F35" s="39"/>
      <c r="G35" s="42"/>
      <c r="H35" s="39"/>
      <c r="I35" s="39"/>
      <c r="J35" s="44"/>
      <c r="K35" s="39"/>
      <c r="L35" s="39"/>
      <c r="M35" s="14"/>
      <c r="N35" s="14"/>
      <c r="O35" s="38" t="s">
        <v>98</v>
      </c>
      <c r="P35" s="47">
        <f>SUMIF(F6:F35, "Crédito", D6:D35) + SUMIF(L6:L35, "Crédito", J6:J35) + SUMIF(R16:R33, "Crédito", P16:P33)</f>
        <v>555.93000000000006</v>
      </c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x14ac:dyDescent="0.3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x14ac:dyDescent="0.35">
      <c r="D37"/>
    </row>
    <row r="38" spans="1:26" x14ac:dyDescent="0.35">
      <c r="D38"/>
    </row>
    <row r="39" spans="1:26" x14ac:dyDescent="0.35">
      <c r="D39"/>
    </row>
    <row r="40" spans="1:26" x14ac:dyDescent="0.35">
      <c r="D40"/>
    </row>
    <row r="41" spans="1:26" x14ac:dyDescent="0.35">
      <c r="D41"/>
    </row>
    <row r="42" spans="1:26" x14ac:dyDescent="0.35">
      <c r="D42"/>
    </row>
    <row r="43" spans="1:26" x14ac:dyDescent="0.35">
      <c r="D43"/>
    </row>
    <row r="44" spans="1:26" x14ac:dyDescent="0.35">
      <c r="D44"/>
    </row>
  </sheetData>
  <mergeCells count="6">
    <mergeCell ref="N20:R20"/>
    <mergeCell ref="B2:L2"/>
    <mergeCell ref="B3:L3"/>
    <mergeCell ref="B4:F4"/>
    <mergeCell ref="H4:L4"/>
    <mergeCell ref="N14:R14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95E4D28C-5B05-41DF-BB9A-AEEB4636306C}">
          <x14:formula1>
            <xm:f>'Planilha apoio'!#REF!</xm:f>
          </x14:formula1>
          <xm:sqref>G44:G1048576 M16</xm:sqref>
        </x14:dataValidation>
        <x14:dataValidation type="list" allowBlank="1" showInputMessage="1" showErrorMessage="1" xr:uid="{E039A50C-1BE5-40BF-94AF-9A2B80E3D0D0}">
          <x14:formula1>
            <xm:f>'Planilha apoio'!$A$2:$A$13</xm:f>
          </x14:formula1>
          <xm:sqref>E44:F1048576</xm:sqref>
        </x14:dataValidation>
        <x14:dataValidation type="list" allowBlank="1" showInputMessage="1" showErrorMessage="1" xr:uid="{946B1249-BDE0-4263-ADA3-E22C8F06E82D}">
          <x14:formula1>
            <xm:f>'Planilha apoio'!$B$2:$B$8</xm:f>
          </x14:formula1>
          <xm:sqref>R16:R19</xm:sqref>
        </x14:dataValidation>
        <x14:dataValidation type="list" allowBlank="1" showInputMessage="1" showErrorMessage="1" xr:uid="{137D4C10-BEE2-45D0-AF5B-5E28992AE03E}">
          <x14:formula1>
            <xm:f>'Planilha apoio'!$B$3:$B$8</xm:f>
          </x14:formula1>
          <xm:sqref>L6:L35 F6:F35</xm:sqref>
        </x14:dataValidation>
        <x14:dataValidation type="list" allowBlank="1" showInputMessage="1" showErrorMessage="1" xr:uid="{3134440C-3EDA-4AE7-8DAD-BA70442A83A1}">
          <x14:formula1>
            <xm:f>'Planilha apoio'!$A$2:$A$42</xm:f>
          </x14:formula1>
          <xm:sqref>Q16:Q19 R34:R35 E6:E35 K6:K35 Q34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C7D5D-5770-4185-800F-93D51438FBA6}">
  <dimension ref="A1:Z44"/>
  <sheetViews>
    <sheetView zoomScaleNormal="100" workbookViewId="0"/>
  </sheetViews>
  <sheetFormatPr defaultRowHeight="14.5" x14ac:dyDescent="0.35"/>
  <cols>
    <col min="1" max="1" width="1.36328125" customWidth="1"/>
    <col min="2" max="2" width="7.1796875" bestFit="1" customWidth="1"/>
    <col min="3" max="3" width="19.54296875" bestFit="1" customWidth="1"/>
    <col min="4" max="4" width="10.54296875" style="1" bestFit="1" customWidth="1"/>
    <col min="5" max="5" width="11.26953125" bestFit="1" customWidth="1"/>
    <col min="6" max="6" width="11.26953125" customWidth="1"/>
    <col min="7" max="7" width="2.54296875" customWidth="1"/>
    <col min="8" max="8" width="7.1796875" bestFit="1" customWidth="1"/>
    <col min="9" max="9" width="19.54296875" bestFit="1" customWidth="1"/>
    <col min="10" max="10" width="10.54296875" bestFit="1" customWidth="1"/>
    <col min="11" max="11" width="11.26953125" bestFit="1" customWidth="1"/>
    <col min="12" max="12" width="11.26953125" customWidth="1"/>
    <col min="13" max="13" width="2.7265625" customWidth="1"/>
    <col min="14" max="14" width="9.54296875" bestFit="1" customWidth="1"/>
    <col min="15" max="15" width="19.36328125" bestFit="1" customWidth="1"/>
    <col min="16" max="16" width="11.6328125" customWidth="1"/>
    <col min="17" max="17" width="11.6328125" bestFit="1" customWidth="1"/>
    <col min="18" max="18" width="11.6328125" customWidth="1"/>
    <col min="19" max="19" width="12.1796875" bestFit="1" customWidth="1"/>
    <col min="21" max="21" width="3.7265625" customWidth="1"/>
  </cols>
  <sheetData>
    <row r="1" spans="1:26" ht="7" customHeight="1" thickBot="1" x14ac:dyDescent="0.4">
      <c r="A1" s="14"/>
      <c r="B1" s="14"/>
      <c r="C1" s="14"/>
      <c r="D1" s="15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x14ac:dyDescent="0.35">
      <c r="A2" s="14"/>
      <c r="B2" s="79">
        <v>46266</v>
      </c>
      <c r="C2" s="80"/>
      <c r="D2" s="80"/>
      <c r="E2" s="80"/>
      <c r="F2" s="80"/>
      <c r="G2" s="80"/>
      <c r="H2" s="80"/>
      <c r="I2" s="80"/>
      <c r="J2" s="80"/>
      <c r="K2" s="80"/>
      <c r="L2" s="81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5" thickBot="1" x14ac:dyDescent="0.4">
      <c r="A3" s="14"/>
      <c r="B3" s="82" t="s">
        <v>81</v>
      </c>
      <c r="C3" s="83"/>
      <c r="D3" s="83"/>
      <c r="E3" s="83"/>
      <c r="F3" s="83"/>
      <c r="G3" s="84"/>
      <c r="H3" s="83"/>
      <c r="I3" s="83"/>
      <c r="J3" s="83"/>
      <c r="K3" s="83"/>
      <c r="L3" s="85"/>
      <c r="M3" s="35"/>
      <c r="N3" s="41" t="s">
        <v>82</v>
      </c>
      <c r="O3" s="8" t="s">
        <v>83</v>
      </c>
      <c r="P3" s="8" t="s">
        <v>84</v>
      </c>
      <c r="Q3" s="8" t="s">
        <v>85</v>
      </c>
      <c r="R3" s="14"/>
      <c r="S3" s="14"/>
      <c r="T3" s="14"/>
      <c r="U3" s="14"/>
      <c r="V3" s="14"/>
      <c r="W3" s="14"/>
      <c r="X3" s="14"/>
      <c r="Y3" s="14"/>
      <c r="Z3" s="14"/>
    </row>
    <row r="4" spans="1:26" ht="15" thickBot="1" x14ac:dyDescent="0.4">
      <c r="A4" s="14"/>
      <c r="B4" s="86" t="s">
        <v>86</v>
      </c>
      <c r="C4" s="87"/>
      <c r="D4" s="87"/>
      <c r="E4" s="87"/>
      <c r="F4" s="88"/>
      <c r="G4" s="14"/>
      <c r="H4" s="89" t="s">
        <v>87</v>
      </c>
      <c r="I4" s="90"/>
      <c r="J4" s="90"/>
      <c r="K4" s="90"/>
      <c r="L4" s="91"/>
      <c r="M4" s="35"/>
      <c r="N4" s="41" t="s">
        <v>88</v>
      </c>
      <c r="O4" s="40">
        <v>3000</v>
      </c>
      <c r="Q4" s="6">
        <f>SUM(O4+P4)</f>
        <v>3000</v>
      </c>
      <c r="R4" s="14"/>
      <c r="S4" s="14"/>
      <c r="T4" s="14"/>
      <c r="U4" s="14"/>
      <c r="V4" s="14"/>
      <c r="W4" s="14"/>
      <c r="X4" s="14"/>
      <c r="Y4" s="14"/>
      <c r="Z4" s="14"/>
    </row>
    <row r="5" spans="1:26" ht="15" customHeight="1" x14ac:dyDescent="0.35">
      <c r="A5" s="35"/>
      <c r="B5" s="52" t="s">
        <v>4</v>
      </c>
      <c r="C5" s="52" t="s">
        <v>5</v>
      </c>
      <c r="D5" s="53" t="s">
        <v>6</v>
      </c>
      <c r="E5" s="52" t="s">
        <v>7</v>
      </c>
      <c r="F5" s="52" t="s">
        <v>106</v>
      </c>
      <c r="G5" s="14"/>
      <c r="H5" s="52" t="s">
        <v>4</v>
      </c>
      <c r="I5" s="52" t="s">
        <v>5</v>
      </c>
      <c r="J5" s="53" t="s">
        <v>6</v>
      </c>
      <c r="K5" s="52" t="s">
        <v>7</v>
      </c>
      <c r="L5" s="52" t="s">
        <v>106</v>
      </c>
      <c r="M5" s="14"/>
      <c r="N5" s="41" t="s">
        <v>89</v>
      </c>
      <c r="O5" s="40">
        <v>2000</v>
      </c>
      <c r="P5" s="6"/>
      <c r="Q5" s="6">
        <f>SUM(O5+P5)</f>
        <v>2000</v>
      </c>
      <c r="R5" s="14"/>
      <c r="S5" s="14"/>
      <c r="T5" s="14"/>
      <c r="U5" s="14"/>
      <c r="V5" s="14"/>
      <c r="W5" s="14"/>
      <c r="X5" s="14"/>
      <c r="Y5" s="14"/>
      <c r="Z5" s="14"/>
    </row>
    <row r="6" spans="1:26" ht="15" customHeight="1" x14ac:dyDescent="0.35">
      <c r="A6" s="35"/>
      <c r="B6" s="37"/>
      <c r="C6" s="39"/>
      <c r="D6" s="44"/>
      <c r="E6" s="39"/>
      <c r="F6" s="39"/>
      <c r="G6" s="42"/>
      <c r="H6" s="37"/>
      <c r="I6" s="39"/>
      <c r="J6" s="44"/>
      <c r="K6" s="39"/>
      <c r="L6" s="39"/>
      <c r="M6" s="35"/>
      <c r="N6" s="41" t="s">
        <v>101</v>
      </c>
      <c r="O6" s="40">
        <v>1012</v>
      </c>
      <c r="P6" s="41" t="s">
        <v>85</v>
      </c>
      <c r="Q6" s="6">
        <f>SUM(Q4:Q5)</f>
        <v>5000</v>
      </c>
      <c r="R6" s="14"/>
      <c r="S6" s="14"/>
      <c r="T6" s="14"/>
      <c r="U6" s="14"/>
      <c r="V6" s="14"/>
      <c r="W6" s="14"/>
      <c r="X6" s="14"/>
      <c r="Y6" s="14"/>
      <c r="Z6" s="14"/>
    </row>
    <row r="7" spans="1:26" ht="15" customHeight="1" x14ac:dyDescent="0.35">
      <c r="A7" s="35"/>
      <c r="B7" s="37"/>
      <c r="C7" s="39"/>
      <c r="D7" s="44"/>
      <c r="E7" s="39"/>
      <c r="F7" s="39"/>
      <c r="G7" s="42"/>
      <c r="H7" s="37"/>
      <c r="I7" s="39"/>
      <c r="J7" s="44"/>
      <c r="K7" s="39"/>
      <c r="L7" s="39"/>
      <c r="M7" s="35"/>
      <c r="N7" s="14"/>
      <c r="O7" s="14"/>
      <c r="P7" s="41" t="s">
        <v>90</v>
      </c>
      <c r="Q7" s="6">
        <f>SUM(Q6+O6)</f>
        <v>6012</v>
      </c>
      <c r="R7" s="14"/>
      <c r="S7" s="14"/>
      <c r="T7" s="14"/>
      <c r="U7" s="14"/>
      <c r="V7" s="14"/>
      <c r="W7" s="14"/>
      <c r="X7" s="14"/>
      <c r="Y7" s="14"/>
      <c r="Z7" s="14"/>
    </row>
    <row r="8" spans="1:26" ht="15" customHeight="1" x14ac:dyDescent="0.35">
      <c r="A8" s="35"/>
      <c r="B8" s="37"/>
      <c r="C8" s="39"/>
      <c r="D8" s="44"/>
      <c r="E8" s="39"/>
      <c r="F8" s="39"/>
      <c r="G8" s="42"/>
      <c r="H8" s="37"/>
      <c r="I8" s="39"/>
      <c r="J8" s="44"/>
      <c r="K8" s="39"/>
      <c r="L8" s="39"/>
      <c r="M8" s="35"/>
      <c r="N8" s="42"/>
      <c r="O8" s="15"/>
      <c r="P8" s="15"/>
      <c r="Q8" s="15"/>
      <c r="R8" s="15"/>
      <c r="S8" s="14"/>
      <c r="T8" s="14"/>
      <c r="U8" s="14"/>
      <c r="V8" s="14"/>
      <c r="W8" s="14"/>
      <c r="X8" s="14"/>
      <c r="Y8" s="14"/>
      <c r="Z8" s="14"/>
    </row>
    <row r="9" spans="1:26" ht="15" customHeight="1" thickBot="1" x14ac:dyDescent="0.4">
      <c r="A9" s="35"/>
      <c r="B9" s="39"/>
      <c r="C9" s="39"/>
      <c r="D9" s="44"/>
      <c r="E9" s="39"/>
      <c r="F9" s="39"/>
      <c r="G9" s="42"/>
      <c r="H9" s="39"/>
      <c r="I9" s="56"/>
      <c r="J9" s="44"/>
      <c r="K9" s="39"/>
      <c r="L9" s="39"/>
      <c r="M9" s="35"/>
      <c r="N9" s="43" t="s">
        <v>91</v>
      </c>
      <c r="O9" s="24">
        <v>1000</v>
      </c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15" customHeight="1" thickBot="1" x14ac:dyDescent="0.4">
      <c r="A10" s="35"/>
      <c r="B10" s="39"/>
      <c r="C10" s="39"/>
      <c r="D10" s="44"/>
      <c r="E10" s="39"/>
      <c r="F10" s="39"/>
      <c r="G10" s="42"/>
      <c r="H10" s="54"/>
      <c r="I10" s="58"/>
      <c r="J10" s="55"/>
      <c r="K10" s="39"/>
      <c r="L10" s="39"/>
      <c r="M10" s="35"/>
      <c r="N10" s="43" t="s">
        <v>92</v>
      </c>
      <c r="O10" s="6">
        <f>SUM(P16:P19) + SUM(P21:P33)</f>
        <v>2325.0100000000002</v>
      </c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15" customHeight="1" x14ac:dyDescent="0.35">
      <c r="A11" s="35"/>
      <c r="B11" s="39"/>
      <c r="C11" s="39"/>
      <c r="D11" s="44"/>
      <c r="E11" s="39"/>
      <c r="F11" s="39"/>
      <c r="G11" s="42"/>
      <c r="H11" s="39"/>
      <c r="I11" s="57"/>
      <c r="J11" s="44"/>
      <c r="K11" s="39"/>
      <c r="L11" s="39"/>
      <c r="M11" s="35"/>
      <c r="N11" s="43" t="s">
        <v>93</v>
      </c>
      <c r="O11" s="6" cm="1">
        <f t="array" ref="O11">SUM(D6:D35+J6:J35)</f>
        <v>0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15" customHeight="1" x14ac:dyDescent="0.35">
      <c r="A12" s="35"/>
      <c r="B12" s="39"/>
      <c r="C12" s="39"/>
      <c r="D12" s="44"/>
      <c r="E12" s="39"/>
      <c r="F12" s="39"/>
      <c r="G12" s="42"/>
      <c r="H12" s="39"/>
      <c r="I12" s="39"/>
      <c r="J12" s="44"/>
      <c r="K12" s="39"/>
      <c r="L12" s="39"/>
      <c r="M12" s="35"/>
      <c r="N12" s="43" t="s">
        <v>24</v>
      </c>
      <c r="O12" s="6">
        <f>SUM(O9:O11)</f>
        <v>3325.01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15" customHeight="1" thickBot="1" x14ac:dyDescent="0.4">
      <c r="A13" s="35"/>
      <c r="B13" s="39"/>
      <c r="C13" s="39"/>
      <c r="D13" s="44"/>
      <c r="E13" s="39"/>
      <c r="F13" s="39"/>
      <c r="G13" s="42"/>
      <c r="H13" s="39"/>
      <c r="I13" s="39"/>
      <c r="J13" s="44"/>
      <c r="K13" s="39"/>
      <c r="L13" s="39"/>
      <c r="M13" s="35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15" customHeight="1" thickBot="1" x14ac:dyDescent="0.4">
      <c r="A14" s="35"/>
      <c r="B14" s="37"/>
      <c r="C14" s="39"/>
      <c r="D14" s="44"/>
      <c r="E14" s="39"/>
      <c r="F14" s="39"/>
      <c r="G14" s="42"/>
      <c r="H14" s="37"/>
      <c r="I14" s="39"/>
      <c r="J14" s="44"/>
      <c r="K14" s="39"/>
      <c r="L14" s="39"/>
      <c r="M14" s="35"/>
      <c r="N14" s="76" t="s">
        <v>94</v>
      </c>
      <c r="O14" s="77"/>
      <c r="P14" s="77"/>
      <c r="Q14" s="77"/>
      <c r="R14" s="78"/>
      <c r="S14" s="14"/>
      <c r="T14" s="14"/>
      <c r="U14" s="14"/>
      <c r="V14" s="14"/>
      <c r="W14" s="14"/>
      <c r="X14" s="14"/>
      <c r="Y14" s="14"/>
      <c r="Z14" s="14"/>
    </row>
    <row r="15" spans="1:26" ht="15" customHeight="1" x14ac:dyDescent="0.35">
      <c r="A15" s="35"/>
      <c r="B15" s="37"/>
      <c r="C15" s="39"/>
      <c r="D15" s="44"/>
      <c r="E15" s="39"/>
      <c r="F15" s="39"/>
      <c r="G15" s="42"/>
      <c r="H15" s="37"/>
      <c r="I15" s="39"/>
      <c r="J15" s="44"/>
      <c r="K15" s="39"/>
      <c r="L15" s="39"/>
      <c r="M15" s="35"/>
      <c r="N15" s="59" t="s">
        <v>4</v>
      </c>
      <c r="O15" s="60" t="s">
        <v>5</v>
      </c>
      <c r="P15" s="61" t="s">
        <v>6</v>
      </c>
      <c r="Q15" s="59" t="s">
        <v>7</v>
      </c>
      <c r="R15" s="59" t="s">
        <v>106</v>
      </c>
      <c r="S15" s="14"/>
      <c r="T15" s="14"/>
      <c r="U15" s="14"/>
      <c r="V15" s="14"/>
      <c r="W15" s="14"/>
      <c r="X15" s="14"/>
      <c r="Y15" s="14"/>
      <c r="Z15" s="14"/>
    </row>
    <row r="16" spans="1:26" ht="15" customHeight="1" x14ac:dyDescent="0.35">
      <c r="A16" s="14"/>
      <c r="B16" s="39"/>
      <c r="C16" s="39"/>
      <c r="D16" s="44"/>
      <c r="E16" s="39"/>
      <c r="F16" s="39"/>
      <c r="G16" s="42"/>
      <c r="H16" s="39"/>
      <c r="I16" s="39"/>
      <c r="J16" s="44"/>
      <c r="K16" s="39"/>
      <c r="L16" s="39"/>
      <c r="M16" s="14"/>
      <c r="N16" s="65">
        <v>45905</v>
      </c>
      <c r="O16" s="45" t="s">
        <v>22</v>
      </c>
      <c r="P16" s="50">
        <v>850</v>
      </c>
      <c r="Q16" s="37" t="s">
        <v>22</v>
      </c>
      <c r="R16" s="37" t="s">
        <v>72</v>
      </c>
      <c r="S16" s="14"/>
      <c r="T16" s="14"/>
      <c r="U16" s="14"/>
      <c r="V16" s="14"/>
      <c r="W16" s="14"/>
      <c r="X16" s="14"/>
      <c r="Y16" s="14"/>
      <c r="Z16" s="14"/>
    </row>
    <row r="17" spans="1:26" ht="15" customHeight="1" x14ac:dyDescent="0.35">
      <c r="A17" s="14"/>
      <c r="B17" s="39"/>
      <c r="C17" s="39"/>
      <c r="D17" s="44"/>
      <c r="E17" s="39"/>
      <c r="F17" s="39"/>
      <c r="G17" s="42"/>
      <c r="H17" s="39"/>
      <c r="I17" s="39"/>
      <c r="J17" s="44"/>
      <c r="K17" s="39"/>
      <c r="L17" s="39"/>
      <c r="M17" s="35"/>
      <c r="N17" s="65">
        <v>45905</v>
      </c>
      <c r="O17" s="45" t="s">
        <v>25</v>
      </c>
      <c r="P17" s="50">
        <v>220</v>
      </c>
      <c r="Q17" s="37" t="s">
        <v>25</v>
      </c>
      <c r="R17" s="37" t="s">
        <v>72</v>
      </c>
      <c r="S17" s="14"/>
      <c r="T17" s="14"/>
      <c r="U17" s="14"/>
      <c r="V17" s="14"/>
      <c r="W17" s="14"/>
      <c r="X17" s="14"/>
      <c r="Y17" s="14"/>
      <c r="Z17" s="14"/>
    </row>
    <row r="18" spans="1:26" ht="15" customHeight="1" x14ac:dyDescent="0.35">
      <c r="A18" s="36"/>
      <c r="B18" s="39"/>
      <c r="C18" s="39"/>
      <c r="D18" s="44"/>
      <c r="E18" s="39"/>
      <c r="F18" s="39"/>
      <c r="G18" s="42"/>
      <c r="H18" s="39"/>
      <c r="I18" s="39"/>
      <c r="J18" s="44"/>
      <c r="K18" s="39"/>
      <c r="L18" s="39"/>
      <c r="M18" s="35"/>
      <c r="N18" s="65">
        <v>45905</v>
      </c>
      <c r="O18" s="46" t="s">
        <v>96</v>
      </c>
      <c r="P18" s="50">
        <f>SUM('jan-26'!P35)</f>
        <v>555.93000000000006</v>
      </c>
      <c r="Q18" s="48" t="s">
        <v>60</v>
      </c>
      <c r="R18" s="48" t="s">
        <v>72</v>
      </c>
      <c r="S18" s="14"/>
      <c r="T18" s="14"/>
      <c r="U18" s="14"/>
      <c r="V18" s="14"/>
      <c r="W18" s="14"/>
      <c r="X18" s="14"/>
      <c r="Y18" s="14"/>
      <c r="Z18" s="14"/>
    </row>
    <row r="19" spans="1:26" ht="15" customHeight="1" thickBot="1" x14ac:dyDescent="0.4">
      <c r="A19" s="36"/>
      <c r="B19" s="39"/>
      <c r="C19" s="39"/>
      <c r="D19" s="44"/>
      <c r="E19" s="39"/>
      <c r="F19" s="39"/>
      <c r="G19" s="42"/>
      <c r="H19" s="39"/>
      <c r="I19" s="39"/>
      <c r="J19" s="44"/>
      <c r="K19" s="39"/>
      <c r="L19" s="39"/>
      <c r="M19" s="14"/>
      <c r="N19" s="65">
        <v>45905</v>
      </c>
      <c r="O19" s="62" t="s">
        <v>100</v>
      </c>
      <c r="P19" s="63">
        <v>143.15</v>
      </c>
      <c r="Q19" s="64" t="s">
        <v>59</v>
      </c>
      <c r="R19" s="64" t="s">
        <v>108</v>
      </c>
      <c r="S19" s="14"/>
      <c r="T19" s="14"/>
      <c r="U19" s="14"/>
      <c r="V19" s="14"/>
      <c r="W19" s="14"/>
      <c r="X19" s="14"/>
      <c r="Y19" s="14"/>
      <c r="Z19" s="14"/>
    </row>
    <row r="20" spans="1:26" ht="15" customHeight="1" thickBot="1" x14ac:dyDescent="0.4">
      <c r="A20" s="14"/>
      <c r="B20" s="39"/>
      <c r="C20" s="39"/>
      <c r="D20" s="44"/>
      <c r="E20" s="39"/>
      <c r="F20" s="39"/>
      <c r="G20" s="42"/>
      <c r="H20" s="39"/>
      <c r="I20" s="39"/>
      <c r="J20" s="44"/>
      <c r="K20" s="39"/>
      <c r="L20" s="39"/>
      <c r="M20" s="14"/>
      <c r="N20" s="76" t="s">
        <v>105</v>
      </c>
      <c r="O20" s="77"/>
      <c r="P20" s="77"/>
      <c r="Q20" s="77"/>
      <c r="R20" s="78"/>
      <c r="S20" s="14"/>
      <c r="T20" s="14"/>
      <c r="U20" s="14"/>
      <c r="V20" s="14"/>
      <c r="W20" s="14"/>
      <c r="X20" s="14"/>
      <c r="Y20" s="14"/>
      <c r="Z20" s="14"/>
    </row>
    <row r="21" spans="1:26" ht="15" customHeight="1" x14ac:dyDescent="0.35">
      <c r="A21" s="14"/>
      <c r="B21" s="39"/>
      <c r="C21" s="39"/>
      <c r="D21" s="44"/>
      <c r="E21" s="39"/>
      <c r="F21" s="39"/>
      <c r="G21" s="42"/>
      <c r="H21" s="39"/>
      <c r="I21" s="39"/>
      <c r="J21" s="44"/>
      <c r="K21" s="39"/>
      <c r="L21" s="39"/>
      <c r="M21" s="14"/>
      <c r="N21" s="65">
        <v>45935</v>
      </c>
      <c r="O21" s="66" t="s">
        <v>18</v>
      </c>
      <c r="P21" s="67">
        <v>40.9</v>
      </c>
      <c r="Q21" s="65" t="s">
        <v>19</v>
      </c>
      <c r="R21" s="37" t="s">
        <v>51</v>
      </c>
      <c r="S21" s="14"/>
      <c r="T21" s="14"/>
      <c r="U21" s="14"/>
      <c r="V21" s="14"/>
      <c r="W21" s="14"/>
      <c r="X21" s="14"/>
      <c r="Y21" s="14"/>
      <c r="Z21" s="14"/>
    </row>
    <row r="22" spans="1:26" ht="15" customHeight="1" x14ac:dyDescent="0.35">
      <c r="A22" s="14"/>
      <c r="B22" s="39"/>
      <c r="C22" s="39"/>
      <c r="D22" s="44"/>
      <c r="E22" s="39"/>
      <c r="F22" s="39"/>
      <c r="G22" s="42"/>
      <c r="H22" s="39"/>
      <c r="I22" s="39"/>
      <c r="J22" s="44"/>
      <c r="K22" s="39"/>
      <c r="L22" s="39"/>
      <c r="M22" s="14"/>
      <c r="N22" s="65">
        <v>45935</v>
      </c>
      <c r="O22" s="46" t="s">
        <v>97</v>
      </c>
      <c r="P22" s="49">
        <v>66.900000000000006</v>
      </c>
      <c r="Q22" s="65" t="s">
        <v>19</v>
      </c>
      <c r="R22" s="37" t="s">
        <v>51</v>
      </c>
      <c r="S22" s="14"/>
      <c r="T22" s="14"/>
      <c r="U22" s="14"/>
      <c r="V22" s="14"/>
      <c r="W22" s="14"/>
      <c r="X22" s="14"/>
      <c r="Y22" s="14"/>
      <c r="Z22" s="14"/>
    </row>
    <row r="23" spans="1:26" ht="15" customHeight="1" x14ac:dyDescent="0.35">
      <c r="A23" s="14"/>
      <c r="B23" s="39"/>
      <c r="C23" s="39"/>
      <c r="D23" s="44"/>
      <c r="E23" s="39"/>
      <c r="F23" s="39"/>
      <c r="G23" s="42"/>
      <c r="H23" s="39"/>
      <c r="I23" s="39"/>
      <c r="J23" s="44"/>
      <c r="K23" s="39"/>
      <c r="L23" s="39"/>
      <c r="M23" s="14"/>
      <c r="N23" s="65">
        <v>45935</v>
      </c>
      <c r="O23" s="46" t="s">
        <v>102</v>
      </c>
      <c r="P23" s="49">
        <v>59.99</v>
      </c>
      <c r="Q23" s="46" t="s">
        <v>19</v>
      </c>
      <c r="R23" s="37" t="s">
        <v>51</v>
      </c>
      <c r="S23" s="14"/>
      <c r="T23" s="14"/>
      <c r="U23" s="14"/>
      <c r="V23" s="14"/>
      <c r="W23" s="14"/>
      <c r="X23" s="14"/>
      <c r="Y23" s="14"/>
      <c r="Z23" s="14"/>
    </row>
    <row r="24" spans="1:26" ht="15" customHeight="1" x14ac:dyDescent="0.35">
      <c r="A24" s="14"/>
      <c r="B24" s="39"/>
      <c r="C24" s="39"/>
      <c r="D24" s="44"/>
      <c r="E24" s="39"/>
      <c r="F24" s="39"/>
      <c r="G24" s="42"/>
      <c r="H24" s="39"/>
      <c r="I24" s="39"/>
      <c r="J24" s="44"/>
      <c r="K24" s="39"/>
      <c r="L24" s="39"/>
      <c r="M24" s="14"/>
      <c r="N24" s="65">
        <v>45935</v>
      </c>
      <c r="O24" s="45" t="s">
        <v>103</v>
      </c>
      <c r="P24" s="50">
        <v>119.9</v>
      </c>
      <c r="Q24" s="37" t="s">
        <v>11</v>
      </c>
      <c r="R24" s="37" t="s">
        <v>51</v>
      </c>
      <c r="S24" s="14"/>
      <c r="T24" s="14"/>
      <c r="U24" s="14"/>
      <c r="V24" s="14"/>
      <c r="W24" s="14"/>
      <c r="X24" s="14"/>
      <c r="Y24" s="14"/>
      <c r="Z24" s="14"/>
    </row>
    <row r="25" spans="1:26" ht="15" customHeight="1" x14ac:dyDescent="0.35">
      <c r="A25" s="14"/>
      <c r="B25" s="39"/>
      <c r="C25" s="39"/>
      <c r="D25" s="44"/>
      <c r="E25" s="39"/>
      <c r="F25" s="39"/>
      <c r="G25" s="42"/>
      <c r="H25" s="39"/>
      <c r="I25" s="39"/>
      <c r="J25" s="44"/>
      <c r="K25" s="39"/>
      <c r="L25" s="39"/>
      <c r="M25" s="14"/>
      <c r="N25" s="65">
        <v>45935</v>
      </c>
      <c r="O25" s="45" t="s">
        <v>95</v>
      </c>
      <c r="P25" s="50">
        <v>50.08</v>
      </c>
      <c r="Q25" s="37" t="s">
        <v>11</v>
      </c>
      <c r="R25" s="37" t="s">
        <v>51</v>
      </c>
      <c r="S25" s="14"/>
      <c r="T25" s="14"/>
      <c r="U25" s="14"/>
      <c r="V25" s="14"/>
      <c r="W25" s="14"/>
      <c r="X25" s="14"/>
      <c r="Y25" s="14"/>
      <c r="Z25" s="14"/>
    </row>
    <row r="26" spans="1:26" ht="15" customHeight="1" x14ac:dyDescent="0.35">
      <c r="A26" s="14"/>
      <c r="B26" s="39"/>
      <c r="C26" s="39"/>
      <c r="D26" s="44"/>
      <c r="E26" s="39"/>
      <c r="F26" s="39"/>
      <c r="G26" s="42"/>
      <c r="H26" s="39"/>
      <c r="I26" s="39"/>
      <c r="J26" s="44"/>
      <c r="K26" s="39"/>
      <c r="L26" s="39"/>
      <c r="M26" s="14"/>
      <c r="N26" s="65">
        <v>45935</v>
      </c>
      <c r="O26" s="46" t="s">
        <v>104</v>
      </c>
      <c r="P26" s="49">
        <v>38.36</v>
      </c>
      <c r="Q26" s="37" t="s">
        <v>11</v>
      </c>
      <c r="R26" s="37" t="s">
        <v>51</v>
      </c>
      <c r="S26" s="14"/>
      <c r="T26" s="14"/>
      <c r="U26" s="14"/>
      <c r="V26" s="14"/>
      <c r="W26" s="14"/>
      <c r="X26" s="14"/>
      <c r="Y26" s="14"/>
      <c r="Z26" s="14"/>
    </row>
    <row r="27" spans="1:26" ht="15" customHeight="1" x14ac:dyDescent="0.35">
      <c r="A27" s="14"/>
      <c r="B27" s="39"/>
      <c r="C27" s="39"/>
      <c r="D27" s="44"/>
      <c r="E27" s="39"/>
      <c r="F27" s="39"/>
      <c r="G27" s="42"/>
      <c r="H27" s="39"/>
      <c r="I27" s="39"/>
      <c r="J27" s="44"/>
      <c r="K27" s="39"/>
      <c r="L27" s="39"/>
      <c r="M27" s="14"/>
      <c r="N27" s="65">
        <v>45935</v>
      </c>
      <c r="O27" s="46" t="s">
        <v>118</v>
      </c>
      <c r="P27" s="50">
        <v>89.9</v>
      </c>
      <c r="Q27" s="37" t="s">
        <v>75</v>
      </c>
      <c r="R27" s="37" t="s">
        <v>51</v>
      </c>
      <c r="S27" s="14"/>
      <c r="T27" s="14"/>
      <c r="U27" s="14"/>
      <c r="V27" s="14"/>
      <c r="W27" s="14"/>
      <c r="X27" s="14"/>
      <c r="Y27" s="14"/>
      <c r="Z27" s="14"/>
    </row>
    <row r="28" spans="1:26" ht="15" customHeight="1" x14ac:dyDescent="0.35">
      <c r="A28" s="14"/>
      <c r="B28" s="39"/>
      <c r="C28" s="39"/>
      <c r="D28" s="44"/>
      <c r="E28" s="39"/>
      <c r="F28" s="39"/>
      <c r="G28" s="42"/>
      <c r="H28" s="39"/>
      <c r="I28" s="39"/>
      <c r="J28" s="44"/>
      <c r="K28" s="39"/>
      <c r="L28" s="39"/>
      <c r="M28" s="14"/>
      <c r="N28" s="65">
        <v>45935</v>
      </c>
      <c r="O28" s="46" t="s">
        <v>99</v>
      </c>
      <c r="P28" s="50">
        <v>89.9</v>
      </c>
      <c r="Q28" s="37" t="s">
        <v>75</v>
      </c>
      <c r="R28" s="37" t="s">
        <v>51</v>
      </c>
      <c r="S28" s="14"/>
      <c r="T28" s="14"/>
      <c r="U28" s="14"/>
      <c r="V28" s="14"/>
      <c r="W28" s="14"/>
      <c r="X28" s="14"/>
      <c r="Y28" s="14"/>
      <c r="Z28" s="14"/>
    </row>
    <row r="29" spans="1:26" ht="15" customHeight="1" x14ac:dyDescent="0.35">
      <c r="A29" s="14"/>
      <c r="B29" s="39"/>
      <c r="C29" s="39"/>
      <c r="D29" s="44"/>
      <c r="E29" s="39"/>
      <c r="F29" s="39"/>
      <c r="G29" s="42"/>
      <c r="H29" s="39"/>
      <c r="I29" s="39"/>
      <c r="J29" s="44"/>
      <c r="K29" s="39"/>
      <c r="L29" s="39"/>
      <c r="M29" s="14"/>
      <c r="N29" s="65"/>
      <c r="O29" s="46"/>
      <c r="P29" s="49"/>
      <c r="Q29" s="46"/>
      <c r="R29" s="37"/>
      <c r="S29" s="14"/>
      <c r="T29" s="14"/>
      <c r="U29" s="14"/>
      <c r="V29" s="14"/>
      <c r="W29" s="14"/>
      <c r="X29" s="14"/>
      <c r="Y29" s="14"/>
      <c r="Z29" s="14"/>
    </row>
    <row r="30" spans="1:26" ht="15" customHeight="1" x14ac:dyDescent="0.35">
      <c r="A30" s="14"/>
      <c r="B30" s="39"/>
      <c r="C30" s="39"/>
      <c r="D30" s="44"/>
      <c r="E30" s="39"/>
      <c r="F30" s="39"/>
      <c r="G30" s="42"/>
      <c r="H30" s="39"/>
      <c r="I30" s="39"/>
      <c r="J30" s="44"/>
      <c r="K30" s="39"/>
      <c r="L30" s="39"/>
      <c r="M30" s="14"/>
      <c r="N30" s="65"/>
      <c r="O30" s="46"/>
      <c r="P30" s="49"/>
      <c r="Q30" s="46"/>
      <c r="R30" s="37"/>
      <c r="S30" s="14"/>
      <c r="T30" s="14"/>
      <c r="U30" s="14"/>
      <c r="V30" s="14"/>
      <c r="W30" s="14"/>
      <c r="X30" s="14"/>
      <c r="Y30" s="14"/>
      <c r="Z30" s="14"/>
    </row>
    <row r="31" spans="1:26" ht="15" customHeight="1" x14ac:dyDescent="0.35">
      <c r="A31" s="14"/>
      <c r="B31" s="39"/>
      <c r="C31" s="39"/>
      <c r="D31" s="44"/>
      <c r="E31" s="39"/>
      <c r="F31" s="39"/>
      <c r="G31" s="42"/>
      <c r="H31" s="39"/>
      <c r="I31" s="39"/>
      <c r="J31" s="44"/>
      <c r="K31" s="39"/>
      <c r="L31" s="39"/>
      <c r="M31" s="14"/>
      <c r="N31" s="37"/>
      <c r="O31" s="46"/>
      <c r="P31" s="49"/>
      <c r="Q31" s="46"/>
      <c r="R31" s="37"/>
      <c r="S31" s="14"/>
      <c r="T31" s="14"/>
      <c r="U31" s="14"/>
      <c r="V31" s="14"/>
      <c r="W31" s="14"/>
      <c r="X31" s="14"/>
      <c r="Y31" s="14"/>
      <c r="Z31" s="14"/>
    </row>
    <row r="32" spans="1:26" ht="15" customHeight="1" x14ac:dyDescent="0.35">
      <c r="A32" s="14"/>
      <c r="B32" s="39"/>
      <c r="C32" s="39"/>
      <c r="D32" s="44"/>
      <c r="E32" s="39"/>
      <c r="F32" s="39"/>
      <c r="G32" s="42"/>
      <c r="H32" s="39"/>
      <c r="I32" s="39"/>
      <c r="J32" s="44"/>
      <c r="K32" s="39"/>
      <c r="L32" s="39"/>
      <c r="M32" s="14"/>
      <c r="N32" s="37"/>
      <c r="O32" s="46"/>
      <c r="P32" s="49"/>
      <c r="Q32" s="46"/>
      <c r="R32" s="64"/>
      <c r="S32" s="14"/>
      <c r="T32" s="14"/>
      <c r="U32" s="14"/>
      <c r="V32" s="14"/>
      <c r="W32" s="14"/>
      <c r="X32" s="14"/>
      <c r="Y32" s="14"/>
      <c r="Z32" s="14"/>
    </row>
    <row r="33" spans="1:26" ht="15" customHeight="1" x14ac:dyDescent="0.35">
      <c r="A33" s="14"/>
      <c r="B33" s="39"/>
      <c r="C33" s="39"/>
      <c r="D33" s="44"/>
      <c r="E33" s="39"/>
      <c r="F33" s="39"/>
      <c r="G33" s="42"/>
      <c r="H33" s="39"/>
      <c r="I33" s="39"/>
      <c r="J33" s="44"/>
      <c r="K33" s="39"/>
      <c r="L33" s="39"/>
      <c r="M33" s="14"/>
      <c r="N33" s="37"/>
      <c r="O33" s="46"/>
      <c r="P33" s="49"/>
      <c r="Q33" s="46"/>
      <c r="R33" s="37"/>
      <c r="S33" s="14"/>
      <c r="T33" s="14"/>
      <c r="U33" s="14"/>
      <c r="V33" s="14"/>
      <c r="W33" s="14"/>
      <c r="X33" s="14"/>
      <c r="Y33" s="14"/>
      <c r="Z33" s="14"/>
    </row>
    <row r="34" spans="1:26" ht="15" customHeight="1" x14ac:dyDescent="0.35">
      <c r="A34" s="14"/>
      <c r="B34" s="39"/>
      <c r="C34" s="39"/>
      <c r="D34" s="44"/>
      <c r="E34" s="39"/>
      <c r="F34" s="39"/>
      <c r="G34" s="42"/>
      <c r="H34" s="39"/>
      <c r="I34" s="39"/>
      <c r="J34" s="44"/>
      <c r="K34" s="39"/>
      <c r="L34" s="39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x14ac:dyDescent="0.35">
      <c r="A35" s="14"/>
      <c r="B35" s="39"/>
      <c r="C35" s="39"/>
      <c r="D35" s="44"/>
      <c r="E35" s="39"/>
      <c r="F35" s="39"/>
      <c r="G35" s="42"/>
      <c r="H35" s="39"/>
      <c r="I35" s="39"/>
      <c r="J35" s="44"/>
      <c r="K35" s="39"/>
      <c r="L35" s="39"/>
      <c r="M35" s="14"/>
      <c r="N35" s="14"/>
      <c r="O35" s="38" t="s">
        <v>98</v>
      </c>
      <c r="P35" s="47">
        <f>SUMIF(F6:F35, "Crédito", D6:D35) + SUMIF(L6:L35, "Crédito", J6:J35) + SUMIF(R16:R33, "Crédito", P16:P33)</f>
        <v>555.93000000000006</v>
      </c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x14ac:dyDescent="0.3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x14ac:dyDescent="0.35">
      <c r="D37"/>
    </row>
    <row r="38" spans="1:26" x14ac:dyDescent="0.35">
      <c r="D38"/>
    </row>
    <row r="39" spans="1:26" x14ac:dyDescent="0.35">
      <c r="D39"/>
    </row>
    <row r="40" spans="1:26" x14ac:dyDescent="0.35">
      <c r="D40"/>
    </row>
    <row r="41" spans="1:26" x14ac:dyDescent="0.35">
      <c r="D41"/>
    </row>
    <row r="42" spans="1:26" x14ac:dyDescent="0.35">
      <c r="D42"/>
    </row>
    <row r="43" spans="1:26" x14ac:dyDescent="0.35">
      <c r="D43"/>
    </row>
    <row r="44" spans="1:26" x14ac:dyDescent="0.35">
      <c r="D44"/>
    </row>
  </sheetData>
  <mergeCells count="6">
    <mergeCell ref="N20:R20"/>
    <mergeCell ref="B2:L2"/>
    <mergeCell ref="B3:L3"/>
    <mergeCell ref="B4:F4"/>
    <mergeCell ref="H4:L4"/>
    <mergeCell ref="N14:R14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E04251C-3A74-492F-BA3A-F70E849D570E}">
          <x14:formula1>
            <xm:f>'Planilha apoio'!$A$2:$A$13</xm:f>
          </x14:formula1>
          <xm:sqref>E44:F1048576</xm:sqref>
        </x14:dataValidation>
        <x14:dataValidation type="list" allowBlank="1" showInputMessage="1" showErrorMessage="1" xr:uid="{BF8E7258-F1C0-48E7-B7CD-D2A5E096BAE5}">
          <x14:formula1>
            <xm:f>'Planilha apoio'!#REF!</xm:f>
          </x14:formula1>
          <xm:sqref>G44:G1048576 M16</xm:sqref>
        </x14:dataValidation>
        <x14:dataValidation type="list" allowBlank="1" showInputMessage="1" showErrorMessage="1" xr:uid="{146E7D85-9BF7-4E1D-84E8-5060406DDD5C}">
          <x14:formula1>
            <xm:f>'Planilha apoio'!$B$3:$B$8</xm:f>
          </x14:formula1>
          <xm:sqref>L6:L35 F6:F35</xm:sqref>
        </x14:dataValidation>
        <x14:dataValidation type="list" allowBlank="1" showInputMessage="1" showErrorMessage="1" xr:uid="{24315B90-E74C-49E5-9167-CFFB5815632B}">
          <x14:formula1>
            <xm:f>'Planilha apoio'!$B$2:$B$8</xm:f>
          </x14:formula1>
          <xm:sqref>R16:R19</xm:sqref>
        </x14:dataValidation>
        <x14:dataValidation type="list" allowBlank="1" showInputMessage="1" showErrorMessage="1" xr:uid="{05B6D157-4E3D-4B4F-BA9D-3CA56DF72E49}">
          <x14:formula1>
            <xm:f>'Planilha apoio'!$A$2:$A$42</xm:f>
          </x14:formula1>
          <xm:sqref>Q16:Q19 R34:R35 E6:E35 K6:K35 Q34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63EA8-7612-45F2-846C-3B7E7AFDAACE}">
  <dimension ref="A1:Z44"/>
  <sheetViews>
    <sheetView zoomScaleNormal="100" workbookViewId="0">
      <selection activeCell="P27" sqref="P27"/>
    </sheetView>
  </sheetViews>
  <sheetFormatPr defaultRowHeight="14.5" x14ac:dyDescent="0.35"/>
  <cols>
    <col min="1" max="1" width="1.36328125" customWidth="1"/>
    <col min="2" max="2" width="7.1796875" bestFit="1" customWidth="1"/>
    <col min="3" max="3" width="19.54296875" bestFit="1" customWidth="1"/>
    <col min="4" max="4" width="10.54296875" style="1" bestFit="1" customWidth="1"/>
    <col min="5" max="5" width="11.26953125" bestFit="1" customWidth="1"/>
    <col min="6" max="6" width="11.26953125" customWidth="1"/>
    <col min="7" max="7" width="2.54296875" customWidth="1"/>
    <col min="8" max="8" width="7.1796875" bestFit="1" customWidth="1"/>
    <col min="9" max="9" width="19.54296875" bestFit="1" customWidth="1"/>
    <col min="10" max="10" width="10.54296875" bestFit="1" customWidth="1"/>
    <col min="11" max="11" width="11.26953125" bestFit="1" customWidth="1"/>
    <col min="12" max="12" width="11.26953125" customWidth="1"/>
    <col min="13" max="13" width="2.7265625" customWidth="1"/>
    <col min="14" max="14" width="9.54296875" bestFit="1" customWidth="1"/>
    <col min="15" max="15" width="18.36328125" customWidth="1"/>
    <col min="16" max="16" width="11.6328125" customWidth="1"/>
    <col min="17" max="17" width="11.6328125" bestFit="1" customWidth="1"/>
    <col min="18" max="18" width="11.6328125" customWidth="1"/>
    <col min="19" max="19" width="12.1796875" bestFit="1" customWidth="1"/>
    <col min="21" max="21" width="3.7265625" customWidth="1"/>
  </cols>
  <sheetData>
    <row r="1" spans="1:26" ht="7" customHeight="1" thickBot="1" x14ac:dyDescent="0.4">
      <c r="A1" s="14"/>
      <c r="B1" s="14"/>
      <c r="C1" s="14"/>
      <c r="D1" s="15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x14ac:dyDescent="0.35">
      <c r="A2" s="14"/>
      <c r="B2" s="79">
        <v>46296</v>
      </c>
      <c r="C2" s="80"/>
      <c r="D2" s="80"/>
      <c r="E2" s="80"/>
      <c r="F2" s="80"/>
      <c r="G2" s="80"/>
      <c r="H2" s="80"/>
      <c r="I2" s="80"/>
      <c r="J2" s="80"/>
      <c r="K2" s="80"/>
      <c r="L2" s="81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5" thickBot="1" x14ac:dyDescent="0.4">
      <c r="A3" s="14"/>
      <c r="B3" s="82" t="s">
        <v>81</v>
      </c>
      <c r="C3" s="83"/>
      <c r="D3" s="83"/>
      <c r="E3" s="83"/>
      <c r="F3" s="83"/>
      <c r="G3" s="84"/>
      <c r="H3" s="83"/>
      <c r="I3" s="83"/>
      <c r="J3" s="83"/>
      <c r="K3" s="83"/>
      <c r="L3" s="85"/>
      <c r="M3" s="35"/>
      <c r="N3" s="41" t="s">
        <v>82</v>
      </c>
      <c r="O3" s="8" t="s">
        <v>83</v>
      </c>
      <c r="P3" s="8" t="s">
        <v>84</v>
      </c>
      <c r="Q3" s="8" t="s">
        <v>85</v>
      </c>
      <c r="R3" s="14"/>
      <c r="S3" s="14"/>
      <c r="T3" s="14"/>
      <c r="U3" s="14"/>
      <c r="V3" s="14"/>
      <c r="W3" s="14"/>
      <c r="X3" s="14"/>
      <c r="Y3" s="14"/>
      <c r="Z3" s="14"/>
    </row>
    <row r="4" spans="1:26" ht="15" thickBot="1" x14ac:dyDescent="0.4">
      <c r="A4" s="14"/>
      <c r="B4" s="86" t="s">
        <v>86</v>
      </c>
      <c r="C4" s="87"/>
      <c r="D4" s="87"/>
      <c r="E4" s="87"/>
      <c r="F4" s="88"/>
      <c r="G4" s="14"/>
      <c r="H4" s="89" t="s">
        <v>87</v>
      </c>
      <c r="I4" s="90"/>
      <c r="J4" s="90"/>
      <c r="K4" s="90"/>
      <c r="L4" s="91"/>
      <c r="M4" s="35"/>
      <c r="N4" s="41" t="s">
        <v>88</v>
      </c>
      <c r="O4" s="40">
        <v>3000</v>
      </c>
      <c r="Q4" s="6">
        <f>SUM(O4+P4)</f>
        <v>3000</v>
      </c>
      <c r="R4" s="14"/>
      <c r="S4" s="14"/>
      <c r="T4" s="14"/>
      <c r="U4" s="14"/>
      <c r="V4" s="14"/>
      <c r="W4" s="14"/>
      <c r="X4" s="14"/>
      <c r="Y4" s="14"/>
      <c r="Z4" s="14"/>
    </row>
    <row r="5" spans="1:26" ht="15" customHeight="1" x14ac:dyDescent="0.35">
      <c r="A5" s="35"/>
      <c r="B5" s="52" t="s">
        <v>4</v>
      </c>
      <c r="C5" s="52" t="s">
        <v>5</v>
      </c>
      <c r="D5" s="53" t="s">
        <v>6</v>
      </c>
      <c r="E5" s="52" t="s">
        <v>7</v>
      </c>
      <c r="F5" s="52" t="s">
        <v>106</v>
      </c>
      <c r="G5" s="14"/>
      <c r="H5" s="52" t="s">
        <v>4</v>
      </c>
      <c r="I5" s="52" t="s">
        <v>5</v>
      </c>
      <c r="J5" s="53" t="s">
        <v>6</v>
      </c>
      <c r="K5" s="52" t="s">
        <v>7</v>
      </c>
      <c r="L5" s="52" t="s">
        <v>106</v>
      </c>
      <c r="M5" s="14"/>
      <c r="N5" s="41" t="s">
        <v>89</v>
      </c>
      <c r="O5" s="40">
        <v>2000</v>
      </c>
      <c r="P5" s="6"/>
      <c r="Q5" s="6">
        <f>SUM(O5+P5)</f>
        <v>2000</v>
      </c>
      <c r="R5" s="14"/>
      <c r="S5" s="14"/>
      <c r="T5" s="14"/>
      <c r="U5" s="14"/>
      <c r="V5" s="14"/>
      <c r="W5" s="14"/>
      <c r="X5" s="14"/>
      <c r="Y5" s="14"/>
      <c r="Z5" s="14"/>
    </row>
    <row r="6" spans="1:26" ht="15" customHeight="1" x14ac:dyDescent="0.35">
      <c r="A6" s="35"/>
      <c r="B6" s="37"/>
      <c r="C6" s="39"/>
      <c r="D6" s="44"/>
      <c r="E6" s="39"/>
      <c r="F6" s="39"/>
      <c r="G6" s="42"/>
      <c r="H6" s="37"/>
      <c r="I6" s="39"/>
      <c r="J6" s="44"/>
      <c r="K6" s="39"/>
      <c r="L6" s="39"/>
      <c r="M6" s="35"/>
      <c r="N6" s="41" t="s">
        <v>101</v>
      </c>
      <c r="O6" s="40">
        <v>1012</v>
      </c>
      <c r="P6" s="41" t="s">
        <v>85</v>
      </c>
      <c r="Q6" s="6">
        <f>SUM(Q4:Q5)</f>
        <v>5000</v>
      </c>
      <c r="R6" s="14"/>
      <c r="S6" s="14"/>
      <c r="T6" s="14"/>
      <c r="U6" s="14"/>
      <c r="V6" s="14"/>
      <c r="W6" s="14"/>
      <c r="X6" s="14"/>
      <c r="Y6" s="14"/>
      <c r="Z6" s="14"/>
    </row>
    <row r="7" spans="1:26" ht="15" customHeight="1" x14ac:dyDescent="0.35">
      <c r="A7" s="35"/>
      <c r="B7" s="37"/>
      <c r="C7" s="39"/>
      <c r="D7" s="44"/>
      <c r="E7" s="39"/>
      <c r="F7" s="39"/>
      <c r="G7" s="42"/>
      <c r="H7" s="37"/>
      <c r="I7" s="39"/>
      <c r="J7" s="44"/>
      <c r="K7" s="39"/>
      <c r="L7" s="39"/>
      <c r="M7" s="35"/>
      <c r="N7" s="14"/>
      <c r="O7" s="14"/>
      <c r="P7" s="41" t="s">
        <v>90</v>
      </c>
      <c r="Q7" s="6">
        <f>SUM(Q6+O6)</f>
        <v>6012</v>
      </c>
      <c r="R7" s="14"/>
      <c r="S7" s="14"/>
      <c r="T7" s="14"/>
      <c r="U7" s="14"/>
      <c r="V7" s="14"/>
      <c r="W7" s="14"/>
      <c r="X7" s="14"/>
      <c r="Y7" s="14"/>
      <c r="Z7" s="14"/>
    </row>
    <row r="8" spans="1:26" ht="15" customHeight="1" x14ac:dyDescent="0.35">
      <c r="A8" s="35"/>
      <c r="B8" s="37"/>
      <c r="C8" s="39"/>
      <c r="D8" s="44"/>
      <c r="E8" s="39"/>
      <c r="F8" s="39"/>
      <c r="G8" s="42"/>
      <c r="H8" s="37"/>
      <c r="I8" s="39"/>
      <c r="J8" s="44"/>
      <c r="K8" s="39"/>
      <c r="L8" s="39"/>
      <c r="M8" s="35"/>
      <c r="N8" s="42"/>
      <c r="O8" s="15"/>
      <c r="P8" s="15"/>
      <c r="Q8" s="15"/>
      <c r="R8" s="15"/>
      <c r="S8" s="14"/>
      <c r="T8" s="14"/>
      <c r="U8" s="14"/>
      <c r="V8" s="14"/>
      <c r="W8" s="14"/>
      <c r="X8" s="14"/>
      <c r="Y8" s="14"/>
      <c r="Z8" s="14"/>
    </row>
    <row r="9" spans="1:26" ht="15" customHeight="1" thickBot="1" x14ac:dyDescent="0.4">
      <c r="A9" s="35"/>
      <c r="B9" s="39"/>
      <c r="C9" s="39"/>
      <c r="D9" s="44"/>
      <c r="E9" s="39"/>
      <c r="F9" s="39"/>
      <c r="G9" s="42"/>
      <c r="H9" s="39"/>
      <c r="I9" s="56"/>
      <c r="J9" s="44"/>
      <c r="K9" s="39"/>
      <c r="L9" s="39"/>
      <c r="M9" s="35"/>
      <c r="N9" s="43" t="s">
        <v>91</v>
      </c>
      <c r="O9" s="24">
        <v>1000</v>
      </c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15" customHeight="1" thickBot="1" x14ac:dyDescent="0.4">
      <c r="A10" s="35"/>
      <c r="B10" s="39"/>
      <c r="C10" s="39"/>
      <c r="D10" s="44"/>
      <c r="E10" s="39"/>
      <c r="F10" s="39"/>
      <c r="G10" s="42"/>
      <c r="H10" s="54"/>
      <c r="I10" s="58"/>
      <c r="J10" s="55"/>
      <c r="K10" s="39"/>
      <c r="L10" s="39"/>
      <c r="M10" s="35"/>
      <c r="N10" s="43" t="s">
        <v>92</v>
      </c>
      <c r="O10" s="6">
        <f>SUM(P16:P19) + SUM(P21:P33)</f>
        <v>2325.0100000000002</v>
      </c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15" customHeight="1" x14ac:dyDescent="0.35">
      <c r="A11" s="35"/>
      <c r="B11" s="39"/>
      <c r="C11" s="39"/>
      <c r="D11" s="44"/>
      <c r="E11" s="39"/>
      <c r="F11" s="39"/>
      <c r="G11" s="42"/>
      <c r="H11" s="39"/>
      <c r="I11" s="57"/>
      <c r="J11" s="44"/>
      <c r="K11" s="39"/>
      <c r="L11" s="39"/>
      <c r="M11" s="35"/>
      <c r="N11" s="43" t="s">
        <v>93</v>
      </c>
      <c r="O11" s="6" cm="1">
        <f t="array" ref="O11">SUM(D6:D35+J6:J35)</f>
        <v>0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15" customHeight="1" x14ac:dyDescent="0.35">
      <c r="A12" s="35"/>
      <c r="B12" s="39"/>
      <c r="C12" s="39"/>
      <c r="D12" s="44"/>
      <c r="E12" s="39"/>
      <c r="F12" s="39"/>
      <c r="G12" s="42"/>
      <c r="H12" s="39"/>
      <c r="I12" s="39"/>
      <c r="J12" s="44"/>
      <c r="K12" s="39"/>
      <c r="L12" s="39"/>
      <c r="M12" s="35"/>
      <c r="N12" s="43" t="s">
        <v>24</v>
      </c>
      <c r="O12" s="6">
        <f>SUM(O9:O11)</f>
        <v>3325.01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15" customHeight="1" thickBot="1" x14ac:dyDescent="0.4">
      <c r="A13" s="35"/>
      <c r="B13" s="39"/>
      <c r="C13" s="39"/>
      <c r="D13" s="44"/>
      <c r="E13" s="39"/>
      <c r="F13" s="39"/>
      <c r="G13" s="42"/>
      <c r="H13" s="39"/>
      <c r="I13" s="39"/>
      <c r="J13" s="44"/>
      <c r="K13" s="39"/>
      <c r="L13" s="39"/>
      <c r="M13" s="35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15" customHeight="1" thickBot="1" x14ac:dyDescent="0.4">
      <c r="A14" s="35"/>
      <c r="B14" s="37"/>
      <c r="C14" s="39"/>
      <c r="D14" s="44"/>
      <c r="E14" s="39"/>
      <c r="F14" s="39"/>
      <c r="G14" s="42"/>
      <c r="H14" s="37"/>
      <c r="I14" s="39"/>
      <c r="J14" s="44"/>
      <c r="K14" s="39"/>
      <c r="L14" s="39"/>
      <c r="M14" s="35"/>
      <c r="N14" s="76" t="s">
        <v>94</v>
      </c>
      <c r="O14" s="77"/>
      <c r="P14" s="77"/>
      <c r="Q14" s="77"/>
      <c r="R14" s="78"/>
      <c r="S14" s="14"/>
      <c r="T14" s="14"/>
      <c r="U14" s="14"/>
      <c r="V14" s="14"/>
      <c r="W14" s="14"/>
      <c r="X14" s="14"/>
      <c r="Y14" s="14"/>
      <c r="Z14" s="14"/>
    </row>
    <row r="15" spans="1:26" ht="15" customHeight="1" x14ac:dyDescent="0.35">
      <c r="A15" s="35"/>
      <c r="B15" s="37"/>
      <c r="C15" s="39"/>
      <c r="D15" s="44"/>
      <c r="E15" s="39"/>
      <c r="F15" s="39"/>
      <c r="G15" s="42"/>
      <c r="H15" s="37"/>
      <c r="I15" s="39"/>
      <c r="J15" s="44"/>
      <c r="K15" s="39"/>
      <c r="L15" s="39"/>
      <c r="M15" s="35"/>
      <c r="N15" s="59" t="s">
        <v>4</v>
      </c>
      <c r="O15" s="60" t="s">
        <v>5</v>
      </c>
      <c r="P15" s="61" t="s">
        <v>6</v>
      </c>
      <c r="Q15" s="59" t="s">
        <v>7</v>
      </c>
      <c r="R15" s="59" t="s">
        <v>106</v>
      </c>
      <c r="S15" s="14"/>
      <c r="T15" s="14"/>
      <c r="U15" s="14"/>
      <c r="V15" s="14"/>
      <c r="W15" s="14"/>
      <c r="X15" s="14"/>
      <c r="Y15" s="14"/>
      <c r="Z15" s="14"/>
    </row>
    <row r="16" spans="1:26" ht="15" customHeight="1" x14ac:dyDescent="0.35">
      <c r="A16" s="14"/>
      <c r="B16" s="39"/>
      <c r="C16" s="39"/>
      <c r="D16" s="44"/>
      <c r="E16" s="39"/>
      <c r="F16" s="39"/>
      <c r="G16" s="42"/>
      <c r="H16" s="39"/>
      <c r="I16" s="39"/>
      <c r="J16" s="44"/>
      <c r="K16" s="39"/>
      <c r="L16" s="39"/>
      <c r="M16" s="14"/>
      <c r="N16" s="65">
        <v>45935</v>
      </c>
      <c r="O16" s="45" t="s">
        <v>22</v>
      </c>
      <c r="P16" s="50">
        <v>850</v>
      </c>
      <c r="Q16" s="37" t="s">
        <v>22</v>
      </c>
      <c r="R16" s="37" t="s">
        <v>72</v>
      </c>
      <c r="S16" s="14"/>
      <c r="T16" s="14"/>
      <c r="U16" s="14"/>
      <c r="V16" s="14"/>
      <c r="W16" s="14"/>
      <c r="X16" s="14"/>
      <c r="Y16" s="14"/>
      <c r="Z16" s="14"/>
    </row>
    <row r="17" spans="1:26" ht="15" customHeight="1" x14ac:dyDescent="0.35">
      <c r="A17" s="14"/>
      <c r="B17" s="39"/>
      <c r="C17" s="39"/>
      <c r="D17" s="44"/>
      <c r="E17" s="39"/>
      <c r="F17" s="39"/>
      <c r="G17" s="42"/>
      <c r="H17" s="39"/>
      <c r="I17" s="39"/>
      <c r="J17" s="44"/>
      <c r="K17" s="39"/>
      <c r="L17" s="39"/>
      <c r="M17" s="35"/>
      <c r="N17" s="65">
        <v>45935</v>
      </c>
      <c r="O17" s="45" t="s">
        <v>25</v>
      </c>
      <c r="P17" s="50">
        <v>220</v>
      </c>
      <c r="Q17" s="37" t="s">
        <v>25</v>
      </c>
      <c r="R17" s="37" t="s">
        <v>72</v>
      </c>
      <c r="S17" s="14"/>
      <c r="T17" s="14"/>
      <c r="U17" s="14"/>
      <c r="V17" s="14"/>
      <c r="W17" s="14"/>
      <c r="X17" s="14"/>
      <c r="Y17" s="14"/>
      <c r="Z17" s="14"/>
    </row>
    <row r="18" spans="1:26" ht="15" customHeight="1" x14ac:dyDescent="0.35">
      <c r="A18" s="36"/>
      <c r="B18" s="39"/>
      <c r="C18" s="39"/>
      <c r="D18" s="44"/>
      <c r="E18" s="39"/>
      <c r="F18" s="39"/>
      <c r="G18" s="42"/>
      <c r="H18" s="39"/>
      <c r="I18" s="39"/>
      <c r="J18" s="44"/>
      <c r="K18" s="39"/>
      <c r="L18" s="39"/>
      <c r="M18" s="35"/>
      <c r="N18" s="65">
        <v>45935</v>
      </c>
      <c r="O18" s="46" t="s">
        <v>96</v>
      </c>
      <c r="P18" s="50">
        <f>SUM('jan-26'!P35)</f>
        <v>555.93000000000006</v>
      </c>
      <c r="Q18" s="48" t="s">
        <v>60</v>
      </c>
      <c r="R18" s="48" t="s">
        <v>72</v>
      </c>
      <c r="S18" s="14"/>
      <c r="T18" s="14"/>
      <c r="U18" s="14"/>
      <c r="V18" s="14"/>
      <c r="W18" s="14"/>
      <c r="X18" s="14"/>
      <c r="Y18" s="14"/>
      <c r="Z18" s="14"/>
    </row>
    <row r="19" spans="1:26" ht="15" customHeight="1" thickBot="1" x14ac:dyDescent="0.4">
      <c r="A19" s="36"/>
      <c r="B19" s="39"/>
      <c r="C19" s="39"/>
      <c r="D19" s="44"/>
      <c r="E19" s="39"/>
      <c r="F19" s="39"/>
      <c r="G19" s="42"/>
      <c r="H19" s="39"/>
      <c r="I19" s="39"/>
      <c r="J19" s="44"/>
      <c r="K19" s="39"/>
      <c r="L19" s="39"/>
      <c r="M19" s="14"/>
      <c r="N19" s="65">
        <v>45935</v>
      </c>
      <c r="O19" s="62" t="s">
        <v>100</v>
      </c>
      <c r="P19" s="63">
        <v>143.15</v>
      </c>
      <c r="Q19" s="64" t="s">
        <v>59</v>
      </c>
      <c r="R19" s="64" t="s">
        <v>108</v>
      </c>
      <c r="S19" s="14"/>
      <c r="T19" s="14"/>
      <c r="U19" s="14"/>
      <c r="V19" s="14"/>
      <c r="W19" s="14"/>
      <c r="X19" s="14"/>
      <c r="Y19" s="14"/>
      <c r="Z19" s="14"/>
    </row>
    <row r="20" spans="1:26" ht="15" customHeight="1" thickBot="1" x14ac:dyDescent="0.4">
      <c r="A20" s="14"/>
      <c r="B20" s="39"/>
      <c r="C20" s="39"/>
      <c r="D20" s="44"/>
      <c r="E20" s="39"/>
      <c r="F20" s="39"/>
      <c r="G20" s="42"/>
      <c r="H20" s="39"/>
      <c r="I20" s="39"/>
      <c r="J20" s="44"/>
      <c r="K20" s="39"/>
      <c r="L20" s="39"/>
      <c r="M20" s="14"/>
      <c r="N20" s="76" t="s">
        <v>105</v>
      </c>
      <c r="O20" s="77"/>
      <c r="P20" s="77"/>
      <c r="Q20" s="77"/>
      <c r="R20" s="78"/>
      <c r="S20" s="14"/>
      <c r="T20" s="14"/>
      <c r="U20" s="14"/>
      <c r="V20" s="14"/>
      <c r="W20" s="14"/>
      <c r="X20" s="14"/>
      <c r="Y20" s="14"/>
      <c r="Z20" s="14"/>
    </row>
    <row r="21" spans="1:26" ht="15" customHeight="1" x14ac:dyDescent="0.35">
      <c r="A21" s="14"/>
      <c r="B21" s="39"/>
      <c r="C21" s="39"/>
      <c r="D21" s="44"/>
      <c r="E21" s="39"/>
      <c r="F21" s="39"/>
      <c r="G21" s="42"/>
      <c r="H21" s="39"/>
      <c r="I21" s="39"/>
      <c r="J21" s="44"/>
      <c r="K21" s="39"/>
      <c r="L21" s="39"/>
      <c r="M21" s="14"/>
      <c r="N21" s="65">
        <v>45966</v>
      </c>
      <c r="O21" s="66" t="s">
        <v>18</v>
      </c>
      <c r="P21" s="67">
        <v>40.9</v>
      </c>
      <c r="Q21" s="65" t="s">
        <v>19</v>
      </c>
      <c r="R21" s="37" t="s">
        <v>51</v>
      </c>
      <c r="S21" s="14"/>
      <c r="T21" s="14"/>
      <c r="U21" s="14"/>
      <c r="V21" s="14"/>
      <c r="W21" s="14"/>
      <c r="X21" s="14"/>
      <c r="Y21" s="14"/>
      <c r="Z21" s="14"/>
    </row>
    <row r="22" spans="1:26" ht="15" customHeight="1" x14ac:dyDescent="0.35">
      <c r="A22" s="14"/>
      <c r="B22" s="39"/>
      <c r="C22" s="39"/>
      <c r="D22" s="44"/>
      <c r="E22" s="39"/>
      <c r="F22" s="39"/>
      <c r="G22" s="42"/>
      <c r="H22" s="39"/>
      <c r="I22" s="39"/>
      <c r="J22" s="44"/>
      <c r="K22" s="39"/>
      <c r="L22" s="39"/>
      <c r="M22" s="14"/>
      <c r="N22" s="65">
        <v>45966</v>
      </c>
      <c r="O22" s="46" t="s">
        <v>97</v>
      </c>
      <c r="P22" s="49">
        <v>66.900000000000006</v>
      </c>
      <c r="Q22" s="65" t="s">
        <v>19</v>
      </c>
      <c r="R22" s="37" t="s">
        <v>51</v>
      </c>
      <c r="S22" s="14"/>
      <c r="T22" s="14"/>
      <c r="U22" s="14"/>
      <c r="V22" s="14"/>
      <c r="W22" s="14"/>
      <c r="X22" s="14"/>
      <c r="Y22" s="14"/>
      <c r="Z22" s="14"/>
    </row>
    <row r="23" spans="1:26" ht="15" customHeight="1" x14ac:dyDescent="0.35">
      <c r="A23" s="14"/>
      <c r="B23" s="39"/>
      <c r="C23" s="39"/>
      <c r="D23" s="44"/>
      <c r="E23" s="39"/>
      <c r="F23" s="39"/>
      <c r="G23" s="42"/>
      <c r="H23" s="39"/>
      <c r="I23" s="39"/>
      <c r="J23" s="44"/>
      <c r="K23" s="39"/>
      <c r="L23" s="39"/>
      <c r="M23" s="14"/>
      <c r="N23" s="65">
        <v>45966</v>
      </c>
      <c r="O23" s="46" t="s">
        <v>102</v>
      </c>
      <c r="P23" s="49">
        <v>59.99</v>
      </c>
      <c r="Q23" s="46" t="s">
        <v>19</v>
      </c>
      <c r="R23" s="37" t="s">
        <v>51</v>
      </c>
      <c r="S23" s="14"/>
      <c r="T23" s="14"/>
      <c r="U23" s="14"/>
      <c r="V23" s="14"/>
      <c r="W23" s="14"/>
      <c r="X23" s="14"/>
      <c r="Y23" s="14"/>
      <c r="Z23" s="14"/>
    </row>
    <row r="24" spans="1:26" ht="15" customHeight="1" x14ac:dyDescent="0.35">
      <c r="A24" s="14"/>
      <c r="B24" s="39"/>
      <c r="C24" s="39"/>
      <c r="D24" s="44"/>
      <c r="E24" s="39"/>
      <c r="F24" s="39"/>
      <c r="G24" s="42"/>
      <c r="H24" s="39"/>
      <c r="I24" s="39"/>
      <c r="J24" s="44"/>
      <c r="K24" s="39"/>
      <c r="L24" s="39"/>
      <c r="M24" s="14"/>
      <c r="N24" s="65">
        <v>45966</v>
      </c>
      <c r="O24" s="45" t="s">
        <v>103</v>
      </c>
      <c r="P24" s="50">
        <v>119.9</v>
      </c>
      <c r="Q24" s="37" t="s">
        <v>11</v>
      </c>
      <c r="R24" s="37" t="s">
        <v>51</v>
      </c>
      <c r="S24" s="14"/>
      <c r="T24" s="14"/>
      <c r="U24" s="14"/>
      <c r="V24" s="14"/>
      <c r="W24" s="14"/>
      <c r="X24" s="14"/>
      <c r="Y24" s="14"/>
      <c r="Z24" s="14"/>
    </row>
    <row r="25" spans="1:26" ht="15" customHeight="1" x14ac:dyDescent="0.35">
      <c r="A25" s="14"/>
      <c r="B25" s="39"/>
      <c r="C25" s="39"/>
      <c r="D25" s="44"/>
      <c r="E25" s="39"/>
      <c r="F25" s="39"/>
      <c r="G25" s="42"/>
      <c r="H25" s="39"/>
      <c r="I25" s="39"/>
      <c r="J25" s="44"/>
      <c r="K25" s="39"/>
      <c r="L25" s="39"/>
      <c r="M25" s="14"/>
      <c r="N25" s="65">
        <v>45966</v>
      </c>
      <c r="O25" s="45" t="s">
        <v>95</v>
      </c>
      <c r="P25" s="50">
        <v>50.08</v>
      </c>
      <c r="Q25" s="37" t="s">
        <v>11</v>
      </c>
      <c r="R25" s="37" t="s">
        <v>51</v>
      </c>
      <c r="S25" s="14"/>
      <c r="T25" s="14"/>
      <c r="U25" s="14"/>
      <c r="V25" s="14"/>
      <c r="W25" s="14"/>
      <c r="X25" s="14"/>
      <c r="Y25" s="14"/>
      <c r="Z25" s="14"/>
    </row>
    <row r="26" spans="1:26" ht="15" customHeight="1" x14ac:dyDescent="0.35">
      <c r="A26" s="14"/>
      <c r="B26" s="39"/>
      <c r="C26" s="39"/>
      <c r="D26" s="44"/>
      <c r="E26" s="39"/>
      <c r="F26" s="39"/>
      <c r="G26" s="42"/>
      <c r="H26" s="39"/>
      <c r="I26" s="39"/>
      <c r="J26" s="44"/>
      <c r="K26" s="39"/>
      <c r="L26" s="39"/>
      <c r="M26" s="14"/>
      <c r="N26" s="65">
        <v>45966</v>
      </c>
      <c r="O26" s="46" t="s">
        <v>104</v>
      </c>
      <c r="P26" s="49">
        <v>38.36</v>
      </c>
      <c r="Q26" s="37" t="s">
        <v>11</v>
      </c>
      <c r="R26" s="37" t="s">
        <v>51</v>
      </c>
      <c r="S26" s="14"/>
      <c r="T26" s="14"/>
      <c r="U26" s="14"/>
      <c r="V26" s="14"/>
      <c r="W26" s="14"/>
      <c r="X26" s="14"/>
      <c r="Y26" s="14"/>
      <c r="Z26" s="14"/>
    </row>
    <row r="27" spans="1:26" ht="15" customHeight="1" x14ac:dyDescent="0.35">
      <c r="A27" s="14"/>
      <c r="B27" s="39"/>
      <c r="C27" s="39"/>
      <c r="D27" s="44"/>
      <c r="E27" s="39"/>
      <c r="F27" s="39"/>
      <c r="G27" s="42"/>
      <c r="H27" s="39"/>
      <c r="I27" s="39"/>
      <c r="J27" s="44"/>
      <c r="K27" s="39"/>
      <c r="L27" s="39"/>
      <c r="M27" s="14"/>
      <c r="N27" s="65">
        <v>45966</v>
      </c>
      <c r="O27" s="46" t="s">
        <v>119</v>
      </c>
      <c r="P27" s="50">
        <v>89.9</v>
      </c>
      <c r="Q27" s="37" t="s">
        <v>75</v>
      </c>
      <c r="R27" s="37" t="s">
        <v>51</v>
      </c>
      <c r="S27" s="14"/>
      <c r="T27" s="14"/>
      <c r="U27" s="14"/>
      <c r="V27" s="14"/>
      <c r="W27" s="14"/>
      <c r="X27" s="14"/>
      <c r="Y27" s="14"/>
      <c r="Z27" s="14"/>
    </row>
    <row r="28" spans="1:26" ht="15" customHeight="1" x14ac:dyDescent="0.35">
      <c r="A28" s="14"/>
      <c r="B28" s="39"/>
      <c r="C28" s="39"/>
      <c r="D28" s="44"/>
      <c r="E28" s="39"/>
      <c r="F28" s="39"/>
      <c r="G28" s="42"/>
      <c r="H28" s="39"/>
      <c r="I28" s="39"/>
      <c r="J28" s="44"/>
      <c r="K28" s="39"/>
      <c r="L28" s="39"/>
      <c r="M28" s="14"/>
      <c r="N28" s="65">
        <v>45966</v>
      </c>
      <c r="O28" s="46" t="s">
        <v>99</v>
      </c>
      <c r="P28" s="50">
        <v>89.9</v>
      </c>
      <c r="Q28" s="37" t="s">
        <v>75</v>
      </c>
      <c r="R28" s="37" t="s">
        <v>51</v>
      </c>
      <c r="S28" s="14"/>
      <c r="T28" s="14"/>
      <c r="U28" s="14"/>
      <c r="V28" s="14"/>
      <c r="W28" s="14"/>
      <c r="X28" s="14"/>
      <c r="Y28" s="14"/>
      <c r="Z28" s="14"/>
    </row>
    <row r="29" spans="1:26" ht="15" customHeight="1" x14ac:dyDescent="0.35">
      <c r="A29" s="14"/>
      <c r="B29" s="39"/>
      <c r="C29" s="39"/>
      <c r="D29" s="44"/>
      <c r="E29" s="39"/>
      <c r="F29" s="39"/>
      <c r="G29" s="42"/>
      <c r="H29" s="39"/>
      <c r="I29" s="39"/>
      <c r="J29" s="44"/>
      <c r="K29" s="39"/>
      <c r="L29" s="39"/>
      <c r="M29" s="14"/>
      <c r="N29" s="65"/>
      <c r="O29" s="46"/>
      <c r="P29" s="49"/>
      <c r="Q29" s="46"/>
      <c r="R29" s="37"/>
      <c r="S29" s="14"/>
      <c r="T29" s="14"/>
      <c r="U29" s="14"/>
      <c r="V29" s="14"/>
      <c r="W29" s="14"/>
      <c r="X29" s="14"/>
      <c r="Y29" s="14"/>
      <c r="Z29" s="14"/>
    </row>
    <row r="30" spans="1:26" ht="15" customHeight="1" x14ac:dyDescent="0.35">
      <c r="A30" s="14"/>
      <c r="B30" s="39"/>
      <c r="C30" s="39"/>
      <c r="D30" s="44"/>
      <c r="E30" s="39"/>
      <c r="F30" s="39"/>
      <c r="G30" s="42"/>
      <c r="H30" s="39"/>
      <c r="I30" s="39"/>
      <c r="J30" s="44"/>
      <c r="K30" s="39"/>
      <c r="L30" s="39"/>
      <c r="M30" s="14"/>
      <c r="N30" s="65"/>
      <c r="O30" s="46"/>
      <c r="P30" s="49"/>
      <c r="Q30" s="46"/>
      <c r="R30" s="37"/>
      <c r="S30" s="14"/>
      <c r="T30" s="14"/>
      <c r="U30" s="14"/>
      <c r="V30" s="14"/>
      <c r="W30" s="14"/>
      <c r="X30" s="14"/>
      <c r="Y30" s="14"/>
      <c r="Z30" s="14"/>
    </row>
    <row r="31" spans="1:26" ht="15" customHeight="1" x14ac:dyDescent="0.35">
      <c r="A31" s="14"/>
      <c r="B31" s="39"/>
      <c r="C31" s="39"/>
      <c r="D31" s="44"/>
      <c r="E31" s="39"/>
      <c r="F31" s="39"/>
      <c r="G31" s="42"/>
      <c r="H31" s="39"/>
      <c r="I31" s="39"/>
      <c r="J31" s="44"/>
      <c r="K31" s="39"/>
      <c r="L31" s="39"/>
      <c r="M31" s="14"/>
      <c r="N31" s="37"/>
      <c r="O31" s="46"/>
      <c r="P31" s="49"/>
      <c r="Q31" s="46"/>
      <c r="R31" s="37"/>
      <c r="S31" s="14"/>
      <c r="T31" s="14"/>
      <c r="U31" s="14"/>
      <c r="V31" s="14"/>
      <c r="W31" s="14"/>
      <c r="X31" s="14"/>
      <c r="Y31" s="14"/>
      <c r="Z31" s="14"/>
    </row>
    <row r="32" spans="1:26" ht="15" customHeight="1" x14ac:dyDescent="0.35">
      <c r="A32" s="14"/>
      <c r="B32" s="39"/>
      <c r="C32" s="39"/>
      <c r="D32" s="44"/>
      <c r="E32" s="39"/>
      <c r="F32" s="39"/>
      <c r="G32" s="42"/>
      <c r="H32" s="39"/>
      <c r="I32" s="39"/>
      <c r="J32" s="44"/>
      <c r="K32" s="39"/>
      <c r="L32" s="39"/>
      <c r="M32" s="14"/>
      <c r="N32" s="37"/>
      <c r="O32" s="46"/>
      <c r="P32" s="49"/>
      <c r="Q32" s="46"/>
      <c r="R32" s="64"/>
      <c r="S32" s="14"/>
      <c r="T32" s="14"/>
      <c r="U32" s="14"/>
      <c r="V32" s="14"/>
      <c r="W32" s="14"/>
      <c r="X32" s="14"/>
      <c r="Y32" s="14"/>
      <c r="Z32" s="14"/>
    </row>
    <row r="33" spans="1:26" ht="15" customHeight="1" x14ac:dyDescent="0.35">
      <c r="A33" s="14"/>
      <c r="B33" s="39"/>
      <c r="C33" s="39"/>
      <c r="D33" s="44"/>
      <c r="E33" s="39"/>
      <c r="F33" s="39"/>
      <c r="G33" s="42"/>
      <c r="H33" s="39"/>
      <c r="I33" s="39"/>
      <c r="J33" s="44"/>
      <c r="K33" s="39"/>
      <c r="L33" s="39"/>
      <c r="M33" s="14"/>
      <c r="N33" s="37"/>
      <c r="O33" s="46"/>
      <c r="P33" s="49"/>
      <c r="Q33" s="46"/>
      <c r="R33" s="37"/>
      <c r="S33" s="14"/>
      <c r="T33" s="14"/>
      <c r="U33" s="14"/>
      <c r="V33" s="14"/>
      <c r="W33" s="14"/>
      <c r="X33" s="14"/>
      <c r="Y33" s="14"/>
      <c r="Z33" s="14"/>
    </row>
    <row r="34" spans="1:26" ht="15" customHeight="1" x14ac:dyDescent="0.35">
      <c r="A34" s="14"/>
      <c r="B34" s="39"/>
      <c r="C34" s="39"/>
      <c r="D34" s="44"/>
      <c r="E34" s="39"/>
      <c r="F34" s="39"/>
      <c r="G34" s="42"/>
      <c r="H34" s="39"/>
      <c r="I34" s="39"/>
      <c r="J34" s="44"/>
      <c r="K34" s="39"/>
      <c r="L34" s="39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x14ac:dyDescent="0.35">
      <c r="A35" s="14"/>
      <c r="B35" s="39"/>
      <c r="C35" s="39"/>
      <c r="D35" s="44"/>
      <c r="E35" s="39"/>
      <c r="F35" s="39"/>
      <c r="G35" s="42"/>
      <c r="H35" s="39"/>
      <c r="I35" s="39"/>
      <c r="J35" s="44"/>
      <c r="K35" s="39"/>
      <c r="L35" s="39"/>
      <c r="M35" s="14"/>
      <c r="N35" s="14"/>
      <c r="O35" s="38" t="s">
        <v>98</v>
      </c>
      <c r="P35" s="47">
        <f>SUMIF(F6:F35, "Crédito", D6:D35) + SUMIF(L6:L35, "Crédito", J6:J35) + SUMIF(R16:R33, "Crédito", P16:P33)</f>
        <v>555.93000000000006</v>
      </c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x14ac:dyDescent="0.3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x14ac:dyDescent="0.35">
      <c r="D37"/>
    </row>
    <row r="38" spans="1:26" x14ac:dyDescent="0.35">
      <c r="D38"/>
    </row>
    <row r="39" spans="1:26" x14ac:dyDescent="0.35">
      <c r="D39"/>
    </row>
    <row r="40" spans="1:26" x14ac:dyDescent="0.35">
      <c r="D40"/>
    </row>
    <row r="41" spans="1:26" x14ac:dyDescent="0.35">
      <c r="D41"/>
    </row>
    <row r="42" spans="1:26" x14ac:dyDescent="0.35">
      <c r="D42"/>
    </row>
    <row r="43" spans="1:26" x14ac:dyDescent="0.35">
      <c r="D43"/>
    </row>
    <row r="44" spans="1:26" x14ac:dyDescent="0.35">
      <c r="D44"/>
    </row>
  </sheetData>
  <mergeCells count="6">
    <mergeCell ref="N20:R20"/>
    <mergeCell ref="B2:L2"/>
    <mergeCell ref="B3:L3"/>
    <mergeCell ref="B4:F4"/>
    <mergeCell ref="H4:L4"/>
    <mergeCell ref="N14:R14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 xr:uid="{FA544AA1-EFEA-474D-BDB8-5700D8DBFF96}">
          <x14:formula1>
            <xm:f>'Planilha apoio'!$A$2:$A$13</xm:f>
          </x14:formula1>
          <xm:sqref>E44:F1048576</xm:sqref>
        </x14:dataValidation>
        <x14:dataValidation type="list" allowBlank="1" showInputMessage="1" showErrorMessage="1" xr:uid="{375F0956-E65C-4174-B413-E27B13BD8E53}">
          <x14:formula1>
            <xm:f>'Planilha apoio'!#REF!</xm:f>
          </x14:formula1>
          <xm:sqref>G44:G1048576 M16</xm:sqref>
        </x14:dataValidation>
        <x14:dataValidation type="list" allowBlank="1" showInputMessage="1" showErrorMessage="1" xr:uid="{85BC0E26-039B-462E-95AD-38E0A8E54B84}">
          <x14:formula1>
            <xm:f>'Planilha apoio'!$B$3:$B$8</xm:f>
          </x14:formula1>
          <xm:sqref>L6:L35 F6:F35</xm:sqref>
        </x14:dataValidation>
        <x14:dataValidation type="list" allowBlank="1" showInputMessage="1" showErrorMessage="1" xr:uid="{915896B9-4CD0-466F-BD51-657609F8AFE3}">
          <x14:formula1>
            <xm:f>'Planilha apoio'!$B$2:$B$8</xm:f>
          </x14:formula1>
          <xm:sqref>R16:R19</xm:sqref>
        </x14:dataValidation>
        <x14:dataValidation type="list" allowBlank="1" showInputMessage="1" showErrorMessage="1" xr:uid="{AB07AC0F-2EE7-49C5-B8B6-E2E41E48D61B}">
          <x14:formula1>
            <xm:f>'Planilha apoio'!$A$2:$A$42</xm:f>
          </x14:formula1>
          <xm:sqref>Q16:Q19 R34:R35 E6:E35 K6:K35 Q34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56E1C-E003-45DE-A789-6787B6E95C7C}">
  <dimension ref="A1:Z44"/>
  <sheetViews>
    <sheetView zoomScaleNormal="100" workbookViewId="0">
      <selection activeCell="P27" sqref="P27"/>
    </sheetView>
  </sheetViews>
  <sheetFormatPr defaultRowHeight="14.5" x14ac:dyDescent="0.35"/>
  <cols>
    <col min="1" max="1" width="1.36328125" customWidth="1"/>
    <col min="2" max="2" width="7.1796875" bestFit="1" customWidth="1"/>
    <col min="3" max="3" width="19.54296875" bestFit="1" customWidth="1"/>
    <col min="4" max="4" width="10.54296875" style="1" bestFit="1" customWidth="1"/>
    <col min="5" max="5" width="11.26953125" bestFit="1" customWidth="1"/>
    <col min="6" max="6" width="11.26953125" customWidth="1"/>
    <col min="7" max="7" width="2.54296875" customWidth="1"/>
    <col min="8" max="8" width="7.1796875" bestFit="1" customWidth="1"/>
    <col min="9" max="9" width="19.54296875" bestFit="1" customWidth="1"/>
    <col min="10" max="10" width="10.54296875" bestFit="1" customWidth="1"/>
    <col min="11" max="11" width="11.26953125" bestFit="1" customWidth="1"/>
    <col min="12" max="12" width="11.26953125" customWidth="1"/>
    <col min="13" max="13" width="2.7265625" customWidth="1"/>
    <col min="14" max="14" width="9.54296875" bestFit="1" customWidth="1"/>
    <col min="15" max="15" width="18.36328125" customWidth="1"/>
    <col min="16" max="16" width="11.6328125" customWidth="1"/>
    <col min="17" max="17" width="11.6328125" bestFit="1" customWidth="1"/>
    <col min="18" max="18" width="11.6328125" customWidth="1"/>
    <col min="19" max="19" width="12.1796875" bestFit="1" customWidth="1"/>
    <col min="21" max="21" width="3.7265625" customWidth="1"/>
  </cols>
  <sheetData>
    <row r="1" spans="1:26" ht="7" customHeight="1" thickBot="1" x14ac:dyDescent="0.4">
      <c r="A1" s="14"/>
      <c r="B1" s="14"/>
      <c r="C1" s="14"/>
      <c r="D1" s="15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x14ac:dyDescent="0.35">
      <c r="A2" s="14"/>
      <c r="B2" s="79">
        <v>46327</v>
      </c>
      <c r="C2" s="80"/>
      <c r="D2" s="80"/>
      <c r="E2" s="80"/>
      <c r="F2" s="80"/>
      <c r="G2" s="80"/>
      <c r="H2" s="80"/>
      <c r="I2" s="80"/>
      <c r="J2" s="80"/>
      <c r="K2" s="80"/>
      <c r="L2" s="81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5" thickBot="1" x14ac:dyDescent="0.4">
      <c r="A3" s="14"/>
      <c r="B3" s="82" t="s">
        <v>81</v>
      </c>
      <c r="C3" s="83"/>
      <c r="D3" s="83"/>
      <c r="E3" s="83"/>
      <c r="F3" s="83"/>
      <c r="G3" s="84"/>
      <c r="H3" s="83"/>
      <c r="I3" s="83"/>
      <c r="J3" s="83"/>
      <c r="K3" s="83"/>
      <c r="L3" s="85"/>
      <c r="M3" s="35"/>
      <c r="N3" s="41" t="s">
        <v>82</v>
      </c>
      <c r="O3" s="8" t="s">
        <v>83</v>
      </c>
      <c r="P3" s="8" t="s">
        <v>84</v>
      </c>
      <c r="Q3" s="8" t="s">
        <v>85</v>
      </c>
      <c r="R3" s="14"/>
      <c r="S3" s="14"/>
      <c r="T3" s="14"/>
      <c r="U3" s="14"/>
      <c r="V3" s="14"/>
      <c r="W3" s="14"/>
      <c r="X3" s="14"/>
      <c r="Y3" s="14"/>
      <c r="Z3" s="14"/>
    </row>
    <row r="4" spans="1:26" ht="15" thickBot="1" x14ac:dyDescent="0.4">
      <c r="A4" s="14"/>
      <c r="B4" s="86" t="s">
        <v>86</v>
      </c>
      <c r="C4" s="87"/>
      <c r="D4" s="87"/>
      <c r="E4" s="87"/>
      <c r="F4" s="88"/>
      <c r="G4" s="14"/>
      <c r="H4" s="89" t="s">
        <v>87</v>
      </c>
      <c r="I4" s="90"/>
      <c r="J4" s="90"/>
      <c r="K4" s="90"/>
      <c r="L4" s="91"/>
      <c r="M4" s="35"/>
      <c r="N4" s="41" t="s">
        <v>88</v>
      </c>
      <c r="O4" s="40">
        <v>3000</v>
      </c>
      <c r="Q4" s="6">
        <f>SUM(O4+P4)</f>
        <v>3000</v>
      </c>
      <c r="R4" s="14"/>
      <c r="S4" s="14"/>
      <c r="T4" s="14"/>
      <c r="U4" s="14"/>
      <c r="V4" s="14"/>
      <c r="W4" s="14"/>
      <c r="X4" s="14"/>
      <c r="Y4" s="14"/>
      <c r="Z4" s="14"/>
    </row>
    <row r="5" spans="1:26" ht="15" customHeight="1" x14ac:dyDescent="0.35">
      <c r="A5" s="35"/>
      <c r="B5" s="52" t="s">
        <v>4</v>
      </c>
      <c r="C5" s="52" t="s">
        <v>5</v>
      </c>
      <c r="D5" s="53" t="s">
        <v>6</v>
      </c>
      <c r="E5" s="52" t="s">
        <v>7</v>
      </c>
      <c r="F5" s="52" t="s">
        <v>106</v>
      </c>
      <c r="G5" s="14"/>
      <c r="H5" s="52" t="s">
        <v>4</v>
      </c>
      <c r="I5" s="52" t="s">
        <v>5</v>
      </c>
      <c r="J5" s="53" t="s">
        <v>6</v>
      </c>
      <c r="K5" s="52" t="s">
        <v>7</v>
      </c>
      <c r="L5" s="52" t="s">
        <v>106</v>
      </c>
      <c r="M5" s="14"/>
      <c r="N5" s="41" t="s">
        <v>89</v>
      </c>
      <c r="O5" s="40">
        <v>2000</v>
      </c>
      <c r="P5" s="6"/>
      <c r="Q5" s="6">
        <f>SUM(O5+P5)</f>
        <v>2000</v>
      </c>
      <c r="R5" s="14"/>
      <c r="S5" s="14"/>
      <c r="T5" s="14"/>
      <c r="U5" s="14"/>
      <c r="V5" s="14"/>
      <c r="W5" s="14"/>
      <c r="X5" s="14"/>
      <c r="Y5" s="14"/>
      <c r="Z5" s="14"/>
    </row>
    <row r="6" spans="1:26" ht="15" customHeight="1" x14ac:dyDescent="0.35">
      <c r="A6" s="35"/>
      <c r="B6" s="37"/>
      <c r="C6" s="39"/>
      <c r="D6" s="44"/>
      <c r="E6" s="39"/>
      <c r="F6" s="39"/>
      <c r="G6" s="42"/>
      <c r="H6" s="37"/>
      <c r="I6" s="39"/>
      <c r="J6" s="44"/>
      <c r="K6" s="39"/>
      <c r="L6" s="39"/>
      <c r="M6" s="35"/>
      <c r="N6" s="41" t="s">
        <v>101</v>
      </c>
      <c r="O6" s="40">
        <v>1012</v>
      </c>
      <c r="P6" s="41" t="s">
        <v>85</v>
      </c>
      <c r="Q6" s="6">
        <f>SUM(Q4:Q5)</f>
        <v>5000</v>
      </c>
      <c r="R6" s="14"/>
      <c r="S6" s="14"/>
      <c r="T6" s="14"/>
      <c r="U6" s="14"/>
      <c r="V6" s="14"/>
      <c r="W6" s="14"/>
      <c r="X6" s="14"/>
      <c r="Y6" s="14"/>
      <c r="Z6" s="14"/>
    </row>
    <row r="7" spans="1:26" ht="15" customHeight="1" x14ac:dyDescent="0.35">
      <c r="A7" s="35"/>
      <c r="B7" s="37"/>
      <c r="C7" s="39"/>
      <c r="D7" s="44"/>
      <c r="E7" s="39"/>
      <c r="F7" s="39"/>
      <c r="G7" s="42"/>
      <c r="H7" s="37"/>
      <c r="I7" s="39"/>
      <c r="J7" s="44"/>
      <c r="K7" s="39"/>
      <c r="L7" s="39"/>
      <c r="M7" s="35"/>
      <c r="N7" s="14"/>
      <c r="O7" s="14"/>
      <c r="P7" s="41" t="s">
        <v>90</v>
      </c>
      <c r="Q7" s="6">
        <f>SUM(Q6+O6)</f>
        <v>6012</v>
      </c>
      <c r="R7" s="14"/>
      <c r="S7" s="14"/>
      <c r="T7" s="14"/>
      <c r="U7" s="14"/>
      <c r="V7" s="14"/>
      <c r="W7" s="14"/>
      <c r="X7" s="14"/>
      <c r="Y7" s="14"/>
      <c r="Z7" s="14"/>
    </row>
    <row r="8" spans="1:26" ht="15" customHeight="1" x14ac:dyDescent="0.35">
      <c r="A8" s="35"/>
      <c r="B8" s="37"/>
      <c r="C8" s="39"/>
      <c r="D8" s="44"/>
      <c r="E8" s="39"/>
      <c r="F8" s="39"/>
      <c r="G8" s="42"/>
      <c r="H8" s="37"/>
      <c r="I8" s="39"/>
      <c r="J8" s="44"/>
      <c r="K8" s="39"/>
      <c r="L8" s="39"/>
      <c r="M8" s="35"/>
      <c r="N8" s="42"/>
      <c r="O8" s="15"/>
      <c r="P8" s="15"/>
      <c r="Q8" s="15"/>
      <c r="R8" s="15"/>
      <c r="S8" s="14"/>
      <c r="T8" s="14"/>
      <c r="U8" s="14"/>
      <c r="V8" s="14"/>
      <c r="W8" s="14"/>
      <c r="X8" s="14"/>
      <c r="Y8" s="14"/>
      <c r="Z8" s="14"/>
    </row>
    <row r="9" spans="1:26" ht="15" customHeight="1" thickBot="1" x14ac:dyDescent="0.4">
      <c r="A9" s="35"/>
      <c r="B9" s="39"/>
      <c r="C9" s="39"/>
      <c r="D9" s="44"/>
      <c r="E9" s="39"/>
      <c r="F9" s="39"/>
      <c r="G9" s="42"/>
      <c r="H9" s="39"/>
      <c r="I9" s="56"/>
      <c r="J9" s="44"/>
      <c r="K9" s="39"/>
      <c r="L9" s="39"/>
      <c r="M9" s="35"/>
      <c r="N9" s="43" t="s">
        <v>91</v>
      </c>
      <c r="O9" s="24">
        <v>1000</v>
      </c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15" customHeight="1" thickBot="1" x14ac:dyDescent="0.4">
      <c r="A10" s="35"/>
      <c r="B10" s="39"/>
      <c r="C10" s="39"/>
      <c r="D10" s="44"/>
      <c r="E10" s="39"/>
      <c r="F10" s="39"/>
      <c r="G10" s="42"/>
      <c r="H10" s="54"/>
      <c r="I10" s="58"/>
      <c r="J10" s="55"/>
      <c r="K10" s="39"/>
      <c r="L10" s="39"/>
      <c r="M10" s="35"/>
      <c r="N10" s="43" t="s">
        <v>92</v>
      </c>
      <c r="O10" s="6">
        <f>SUM(P16:P19) + SUM(P21:P33)</f>
        <v>2325.0100000000002</v>
      </c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15" customHeight="1" x14ac:dyDescent="0.35">
      <c r="A11" s="35"/>
      <c r="B11" s="39"/>
      <c r="C11" s="39"/>
      <c r="D11" s="44"/>
      <c r="E11" s="39"/>
      <c r="F11" s="39"/>
      <c r="G11" s="42"/>
      <c r="H11" s="39"/>
      <c r="I11" s="57"/>
      <c r="J11" s="44"/>
      <c r="K11" s="39"/>
      <c r="L11" s="39"/>
      <c r="M11" s="35"/>
      <c r="N11" s="43" t="s">
        <v>93</v>
      </c>
      <c r="O11" s="6" cm="1">
        <f t="array" ref="O11">SUM(D6:D35+J6:J35)</f>
        <v>0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15" customHeight="1" x14ac:dyDescent="0.35">
      <c r="A12" s="35"/>
      <c r="B12" s="39"/>
      <c r="C12" s="39"/>
      <c r="D12" s="44"/>
      <c r="E12" s="39"/>
      <c r="F12" s="39"/>
      <c r="G12" s="42"/>
      <c r="H12" s="39"/>
      <c r="I12" s="39"/>
      <c r="J12" s="44"/>
      <c r="K12" s="39"/>
      <c r="L12" s="39"/>
      <c r="M12" s="35"/>
      <c r="N12" s="43" t="s">
        <v>24</v>
      </c>
      <c r="O12" s="6">
        <f>SUM(O9:O11)</f>
        <v>3325.01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15" customHeight="1" thickBot="1" x14ac:dyDescent="0.4">
      <c r="A13" s="35"/>
      <c r="B13" s="39"/>
      <c r="C13" s="39"/>
      <c r="D13" s="44"/>
      <c r="E13" s="39"/>
      <c r="F13" s="39"/>
      <c r="G13" s="42"/>
      <c r="H13" s="39"/>
      <c r="I13" s="39"/>
      <c r="J13" s="44"/>
      <c r="K13" s="39"/>
      <c r="L13" s="39"/>
      <c r="M13" s="35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15" customHeight="1" thickBot="1" x14ac:dyDescent="0.4">
      <c r="A14" s="35"/>
      <c r="B14" s="37"/>
      <c r="C14" s="39"/>
      <c r="D14" s="44"/>
      <c r="E14" s="39"/>
      <c r="F14" s="39"/>
      <c r="G14" s="42"/>
      <c r="H14" s="37"/>
      <c r="I14" s="39"/>
      <c r="J14" s="44"/>
      <c r="K14" s="39"/>
      <c r="L14" s="39"/>
      <c r="M14" s="35"/>
      <c r="N14" s="76" t="s">
        <v>94</v>
      </c>
      <c r="O14" s="77"/>
      <c r="P14" s="77"/>
      <c r="Q14" s="77"/>
      <c r="R14" s="78"/>
      <c r="S14" s="14"/>
      <c r="T14" s="14"/>
      <c r="U14" s="14"/>
      <c r="V14" s="14"/>
      <c r="W14" s="14"/>
      <c r="X14" s="14"/>
      <c r="Y14" s="14"/>
      <c r="Z14" s="14"/>
    </row>
    <row r="15" spans="1:26" ht="15" customHeight="1" x14ac:dyDescent="0.35">
      <c r="A15" s="35"/>
      <c r="B15" s="37"/>
      <c r="C15" s="39"/>
      <c r="D15" s="44"/>
      <c r="E15" s="39"/>
      <c r="F15" s="39"/>
      <c r="G15" s="42"/>
      <c r="H15" s="37"/>
      <c r="I15" s="39"/>
      <c r="J15" s="44"/>
      <c r="K15" s="39"/>
      <c r="L15" s="39"/>
      <c r="M15" s="35"/>
      <c r="N15" s="59" t="s">
        <v>4</v>
      </c>
      <c r="O15" s="60" t="s">
        <v>5</v>
      </c>
      <c r="P15" s="61" t="s">
        <v>6</v>
      </c>
      <c r="Q15" s="59" t="s">
        <v>7</v>
      </c>
      <c r="R15" s="59" t="s">
        <v>106</v>
      </c>
      <c r="S15" s="14"/>
      <c r="T15" s="14"/>
      <c r="U15" s="14"/>
      <c r="V15" s="14"/>
      <c r="W15" s="14"/>
      <c r="X15" s="14"/>
      <c r="Y15" s="14"/>
      <c r="Z15" s="14"/>
    </row>
    <row r="16" spans="1:26" ht="15" customHeight="1" x14ac:dyDescent="0.35">
      <c r="A16" s="14"/>
      <c r="B16" s="39"/>
      <c r="C16" s="39"/>
      <c r="D16" s="44"/>
      <c r="E16" s="39"/>
      <c r="F16" s="39"/>
      <c r="G16" s="42"/>
      <c r="H16" s="39"/>
      <c r="I16" s="39"/>
      <c r="J16" s="44"/>
      <c r="K16" s="39"/>
      <c r="L16" s="39"/>
      <c r="M16" s="14"/>
      <c r="N16" s="65">
        <v>45966</v>
      </c>
      <c r="O16" s="45" t="s">
        <v>22</v>
      </c>
      <c r="P16" s="50">
        <v>850</v>
      </c>
      <c r="Q16" s="37" t="s">
        <v>22</v>
      </c>
      <c r="R16" s="37" t="s">
        <v>72</v>
      </c>
      <c r="S16" s="14"/>
      <c r="T16" s="14"/>
      <c r="U16" s="14"/>
      <c r="V16" s="14"/>
      <c r="W16" s="14"/>
      <c r="X16" s="14"/>
      <c r="Y16" s="14"/>
      <c r="Z16" s="14"/>
    </row>
    <row r="17" spans="1:26" ht="15" customHeight="1" x14ac:dyDescent="0.35">
      <c r="A17" s="14"/>
      <c r="B17" s="39"/>
      <c r="C17" s="39"/>
      <c r="D17" s="44"/>
      <c r="E17" s="39"/>
      <c r="F17" s="39"/>
      <c r="G17" s="42"/>
      <c r="H17" s="39"/>
      <c r="I17" s="39"/>
      <c r="J17" s="44"/>
      <c r="K17" s="39"/>
      <c r="L17" s="39"/>
      <c r="M17" s="35"/>
      <c r="N17" s="65">
        <v>45966</v>
      </c>
      <c r="O17" s="45" t="s">
        <v>25</v>
      </c>
      <c r="P17" s="50">
        <v>220</v>
      </c>
      <c r="Q17" s="37" t="s">
        <v>25</v>
      </c>
      <c r="R17" s="37" t="s">
        <v>72</v>
      </c>
      <c r="S17" s="14"/>
      <c r="T17" s="14"/>
      <c r="U17" s="14"/>
      <c r="V17" s="14"/>
      <c r="W17" s="14"/>
      <c r="X17" s="14"/>
      <c r="Y17" s="14"/>
      <c r="Z17" s="14"/>
    </row>
    <row r="18" spans="1:26" ht="15" customHeight="1" x14ac:dyDescent="0.35">
      <c r="A18" s="36"/>
      <c r="B18" s="39"/>
      <c r="C18" s="39"/>
      <c r="D18" s="44"/>
      <c r="E18" s="39"/>
      <c r="F18" s="39"/>
      <c r="G18" s="42"/>
      <c r="H18" s="39"/>
      <c r="I18" s="39"/>
      <c r="J18" s="44"/>
      <c r="K18" s="39"/>
      <c r="L18" s="39"/>
      <c r="M18" s="35"/>
      <c r="N18" s="65">
        <v>45966</v>
      </c>
      <c r="O18" s="46" t="s">
        <v>96</v>
      </c>
      <c r="P18" s="50">
        <f>SUM('jan-26'!P35)</f>
        <v>555.93000000000006</v>
      </c>
      <c r="Q18" s="48" t="s">
        <v>60</v>
      </c>
      <c r="R18" s="48" t="s">
        <v>72</v>
      </c>
      <c r="S18" s="14"/>
      <c r="T18" s="14"/>
      <c r="U18" s="14"/>
      <c r="V18" s="14"/>
      <c r="W18" s="14"/>
      <c r="X18" s="14"/>
      <c r="Y18" s="14"/>
      <c r="Z18" s="14"/>
    </row>
    <row r="19" spans="1:26" ht="15" customHeight="1" thickBot="1" x14ac:dyDescent="0.4">
      <c r="A19" s="36"/>
      <c r="B19" s="39"/>
      <c r="C19" s="39"/>
      <c r="D19" s="44"/>
      <c r="E19" s="39"/>
      <c r="F19" s="39"/>
      <c r="G19" s="42"/>
      <c r="H19" s="39"/>
      <c r="I19" s="39"/>
      <c r="J19" s="44"/>
      <c r="K19" s="39"/>
      <c r="L19" s="39"/>
      <c r="M19" s="14"/>
      <c r="N19" s="65">
        <v>45966</v>
      </c>
      <c r="O19" s="62" t="s">
        <v>100</v>
      </c>
      <c r="P19" s="63">
        <v>143.15</v>
      </c>
      <c r="Q19" s="64" t="s">
        <v>59</v>
      </c>
      <c r="R19" s="64" t="s">
        <v>108</v>
      </c>
      <c r="S19" s="14"/>
      <c r="T19" s="14"/>
      <c r="U19" s="14"/>
      <c r="V19" s="14"/>
      <c r="W19" s="14"/>
      <c r="X19" s="14"/>
      <c r="Y19" s="14"/>
      <c r="Z19" s="14"/>
    </row>
    <row r="20" spans="1:26" ht="15" customHeight="1" thickBot="1" x14ac:dyDescent="0.4">
      <c r="A20" s="14"/>
      <c r="B20" s="39"/>
      <c r="C20" s="39"/>
      <c r="D20" s="44"/>
      <c r="E20" s="39"/>
      <c r="F20" s="39"/>
      <c r="G20" s="42"/>
      <c r="H20" s="39"/>
      <c r="I20" s="39"/>
      <c r="J20" s="44"/>
      <c r="K20" s="39"/>
      <c r="L20" s="39"/>
      <c r="M20" s="14"/>
      <c r="N20" s="76" t="s">
        <v>105</v>
      </c>
      <c r="O20" s="77"/>
      <c r="P20" s="77"/>
      <c r="Q20" s="77"/>
      <c r="R20" s="78"/>
      <c r="S20" s="14"/>
      <c r="T20" s="14"/>
      <c r="U20" s="14"/>
      <c r="V20" s="14"/>
      <c r="W20" s="14"/>
      <c r="X20" s="14"/>
      <c r="Y20" s="14"/>
      <c r="Z20" s="14"/>
    </row>
    <row r="21" spans="1:26" ht="15" customHeight="1" x14ac:dyDescent="0.35">
      <c r="A21" s="14"/>
      <c r="B21" s="39"/>
      <c r="C21" s="39"/>
      <c r="D21" s="44"/>
      <c r="E21" s="39"/>
      <c r="F21" s="39"/>
      <c r="G21" s="42"/>
      <c r="H21" s="39"/>
      <c r="I21" s="39"/>
      <c r="J21" s="44"/>
      <c r="K21" s="39"/>
      <c r="L21" s="39"/>
      <c r="M21" s="14"/>
      <c r="N21" s="65">
        <v>45996</v>
      </c>
      <c r="O21" s="66" t="s">
        <v>18</v>
      </c>
      <c r="P21" s="67">
        <v>40.9</v>
      </c>
      <c r="Q21" s="65" t="s">
        <v>19</v>
      </c>
      <c r="R21" s="37" t="s">
        <v>51</v>
      </c>
      <c r="S21" s="14"/>
      <c r="T21" s="14"/>
      <c r="U21" s="14"/>
      <c r="V21" s="14"/>
      <c r="W21" s="14"/>
      <c r="X21" s="14"/>
      <c r="Y21" s="14"/>
      <c r="Z21" s="14"/>
    </row>
    <row r="22" spans="1:26" ht="15" customHeight="1" x14ac:dyDescent="0.35">
      <c r="A22" s="14"/>
      <c r="B22" s="39"/>
      <c r="C22" s="39"/>
      <c r="D22" s="44"/>
      <c r="E22" s="39"/>
      <c r="F22" s="39"/>
      <c r="G22" s="42"/>
      <c r="H22" s="39"/>
      <c r="I22" s="39"/>
      <c r="J22" s="44"/>
      <c r="K22" s="39"/>
      <c r="L22" s="39"/>
      <c r="M22" s="14"/>
      <c r="N22" s="65">
        <v>45996</v>
      </c>
      <c r="O22" s="46" t="s">
        <v>97</v>
      </c>
      <c r="P22" s="49">
        <v>66.900000000000006</v>
      </c>
      <c r="Q22" s="65" t="s">
        <v>19</v>
      </c>
      <c r="R22" s="37" t="s">
        <v>51</v>
      </c>
      <c r="S22" s="14"/>
      <c r="T22" s="14"/>
      <c r="U22" s="14"/>
      <c r="V22" s="14"/>
      <c r="W22" s="14"/>
      <c r="X22" s="14"/>
      <c r="Y22" s="14"/>
      <c r="Z22" s="14"/>
    </row>
    <row r="23" spans="1:26" ht="15" customHeight="1" x14ac:dyDescent="0.35">
      <c r="A23" s="14"/>
      <c r="B23" s="39"/>
      <c r="C23" s="39"/>
      <c r="D23" s="44"/>
      <c r="E23" s="39"/>
      <c r="F23" s="39"/>
      <c r="G23" s="42"/>
      <c r="H23" s="39"/>
      <c r="I23" s="39"/>
      <c r="J23" s="44"/>
      <c r="K23" s="39"/>
      <c r="L23" s="39"/>
      <c r="M23" s="14"/>
      <c r="N23" s="65">
        <v>45996</v>
      </c>
      <c r="O23" s="46" t="s">
        <v>102</v>
      </c>
      <c r="P23" s="49">
        <v>59.99</v>
      </c>
      <c r="Q23" s="46" t="s">
        <v>19</v>
      </c>
      <c r="R23" s="37" t="s">
        <v>51</v>
      </c>
      <c r="S23" s="14"/>
      <c r="T23" s="14"/>
      <c r="U23" s="14"/>
      <c r="V23" s="14"/>
      <c r="W23" s="14"/>
      <c r="X23" s="14"/>
      <c r="Y23" s="14"/>
      <c r="Z23" s="14"/>
    </row>
    <row r="24" spans="1:26" ht="15" customHeight="1" x14ac:dyDescent="0.35">
      <c r="A24" s="14"/>
      <c r="B24" s="39"/>
      <c r="C24" s="39"/>
      <c r="D24" s="44"/>
      <c r="E24" s="39"/>
      <c r="F24" s="39"/>
      <c r="G24" s="42"/>
      <c r="H24" s="39"/>
      <c r="I24" s="39"/>
      <c r="J24" s="44"/>
      <c r="K24" s="39"/>
      <c r="L24" s="39"/>
      <c r="M24" s="14"/>
      <c r="N24" s="65">
        <v>45996</v>
      </c>
      <c r="O24" s="45" t="s">
        <v>103</v>
      </c>
      <c r="P24" s="50">
        <v>119.9</v>
      </c>
      <c r="Q24" s="37" t="s">
        <v>11</v>
      </c>
      <c r="R24" s="37" t="s">
        <v>51</v>
      </c>
      <c r="S24" s="14"/>
      <c r="T24" s="14"/>
      <c r="U24" s="14"/>
      <c r="V24" s="14"/>
      <c r="W24" s="14"/>
      <c r="X24" s="14"/>
      <c r="Y24" s="14"/>
      <c r="Z24" s="14"/>
    </row>
    <row r="25" spans="1:26" ht="15" customHeight="1" x14ac:dyDescent="0.35">
      <c r="A25" s="14"/>
      <c r="B25" s="39"/>
      <c r="C25" s="39"/>
      <c r="D25" s="44"/>
      <c r="E25" s="39"/>
      <c r="F25" s="39"/>
      <c r="G25" s="42"/>
      <c r="H25" s="39"/>
      <c r="I25" s="39"/>
      <c r="J25" s="44"/>
      <c r="K25" s="39"/>
      <c r="L25" s="39"/>
      <c r="M25" s="14"/>
      <c r="N25" s="65">
        <v>45996</v>
      </c>
      <c r="O25" s="45" t="s">
        <v>95</v>
      </c>
      <c r="P25" s="50">
        <v>50.08</v>
      </c>
      <c r="Q25" s="37" t="s">
        <v>11</v>
      </c>
      <c r="R25" s="37" t="s">
        <v>51</v>
      </c>
      <c r="S25" s="14"/>
      <c r="T25" s="14"/>
      <c r="U25" s="14"/>
      <c r="V25" s="14"/>
      <c r="W25" s="14"/>
      <c r="X25" s="14"/>
      <c r="Y25" s="14"/>
      <c r="Z25" s="14"/>
    </row>
    <row r="26" spans="1:26" ht="15" customHeight="1" x14ac:dyDescent="0.35">
      <c r="A26" s="14"/>
      <c r="B26" s="39"/>
      <c r="C26" s="39"/>
      <c r="D26" s="44"/>
      <c r="E26" s="39"/>
      <c r="F26" s="39"/>
      <c r="G26" s="42"/>
      <c r="H26" s="39"/>
      <c r="I26" s="39"/>
      <c r="J26" s="44"/>
      <c r="K26" s="39"/>
      <c r="L26" s="39"/>
      <c r="M26" s="14"/>
      <c r="N26" s="65">
        <v>45996</v>
      </c>
      <c r="O26" s="46" t="s">
        <v>104</v>
      </c>
      <c r="P26" s="49">
        <v>38.36</v>
      </c>
      <c r="Q26" s="37" t="s">
        <v>11</v>
      </c>
      <c r="R26" s="37" t="s">
        <v>51</v>
      </c>
      <c r="S26" s="14"/>
      <c r="T26" s="14"/>
      <c r="U26" s="14"/>
      <c r="V26" s="14"/>
      <c r="W26" s="14"/>
      <c r="X26" s="14"/>
      <c r="Y26" s="14"/>
      <c r="Z26" s="14"/>
    </row>
    <row r="27" spans="1:26" ht="15" customHeight="1" x14ac:dyDescent="0.35">
      <c r="A27" s="14"/>
      <c r="B27" s="39"/>
      <c r="C27" s="39"/>
      <c r="D27" s="44"/>
      <c r="E27" s="39"/>
      <c r="F27" s="39"/>
      <c r="G27" s="42"/>
      <c r="H27" s="39"/>
      <c r="I27" s="39"/>
      <c r="J27" s="44"/>
      <c r="K27" s="39"/>
      <c r="L27" s="39"/>
      <c r="M27" s="14"/>
      <c r="N27" s="65">
        <v>45996</v>
      </c>
      <c r="O27" s="46" t="s">
        <v>109</v>
      </c>
      <c r="P27" s="50">
        <v>89.9</v>
      </c>
      <c r="Q27" s="37" t="s">
        <v>75</v>
      </c>
      <c r="R27" s="37" t="s">
        <v>51</v>
      </c>
      <c r="S27" s="14"/>
      <c r="T27" s="14"/>
      <c r="U27" s="14"/>
      <c r="V27" s="14"/>
      <c r="W27" s="14"/>
      <c r="X27" s="14"/>
      <c r="Y27" s="14"/>
      <c r="Z27" s="14"/>
    </row>
    <row r="28" spans="1:26" ht="15" customHeight="1" x14ac:dyDescent="0.35">
      <c r="A28" s="14"/>
      <c r="B28" s="39"/>
      <c r="C28" s="39"/>
      <c r="D28" s="44"/>
      <c r="E28" s="39"/>
      <c r="F28" s="39"/>
      <c r="G28" s="42"/>
      <c r="H28" s="39"/>
      <c r="I28" s="39"/>
      <c r="J28" s="44"/>
      <c r="K28" s="39"/>
      <c r="L28" s="39"/>
      <c r="M28" s="14"/>
      <c r="N28" s="65">
        <v>45996</v>
      </c>
      <c r="O28" s="46" t="s">
        <v>99</v>
      </c>
      <c r="P28" s="50">
        <v>89.9</v>
      </c>
      <c r="Q28" s="37" t="s">
        <v>75</v>
      </c>
      <c r="R28" s="37" t="s">
        <v>51</v>
      </c>
      <c r="S28" s="14"/>
      <c r="T28" s="14"/>
      <c r="U28" s="14"/>
      <c r="V28" s="14"/>
      <c r="W28" s="14"/>
      <c r="X28" s="14"/>
      <c r="Y28" s="14"/>
      <c r="Z28" s="14"/>
    </row>
    <row r="29" spans="1:26" ht="15" customHeight="1" x14ac:dyDescent="0.35">
      <c r="A29" s="14"/>
      <c r="B29" s="39"/>
      <c r="C29" s="39"/>
      <c r="D29" s="44"/>
      <c r="E29" s="39"/>
      <c r="F29" s="39"/>
      <c r="G29" s="42"/>
      <c r="H29" s="39"/>
      <c r="I29" s="39"/>
      <c r="J29" s="44"/>
      <c r="K29" s="39"/>
      <c r="L29" s="39"/>
      <c r="M29" s="14"/>
      <c r="N29" s="65"/>
      <c r="O29" s="46"/>
      <c r="P29" s="49"/>
      <c r="Q29" s="46"/>
      <c r="R29" s="37"/>
      <c r="S29" s="14"/>
      <c r="T29" s="14"/>
      <c r="U29" s="14"/>
      <c r="V29" s="14"/>
      <c r="W29" s="14"/>
      <c r="X29" s="14"/>
      <c r="Y29" s="14"/>
      <c r="Z29" s="14"/>
    </row>
    <row r="30" spans="1:26" ht="15" customHeight="1" x14ac:dyDescent="0.35">
      <c r="A30" s="14"/>
      <c r="B30" s="39"/>
      <c r="C30" s="39"/>
      <c r="D30" s="44"/>
      <c r="E30" s="39"/>
      <c r="F30" s="39"/>
      <c r="G30" s="42"/>
      <c r="H30" s="39"/>
      <c r="I30" s="39"/>
      <c r="J30" s="44"/>
      <c r="K30" s="39"/>
      <c r="L30" s="39"/>
      <c r="M30" s="14"/>
      <c r="N30" s="65"/>
      <c r="O30" s="46"/>
      <c r="P30" s="49"/>
      <c r="Q30" s="46"/>
      <c r="R30" s="37"/>
      <c r="S30" s="14"/>
      <c r="T30" s="14"/>
      <c r="U30" s="14"/>
      <c r="V30" s="14"/>
      <c r="W30" s="14"/>
      <c r="X30" s="14"/>
      <c r="Y30" s="14"/>
      <c r="Z30" s="14"/>
    </row>
    <row r="31" spans="1:26" ht="15" customHeight="1" x14ac:dyDescent="0.35">
      <c r="A31" s="14"/>
      <c r="B31" s="39"/>
      <c r="C31" s="39"/>
      <c r="D31" s="44"/>
      <c r="E31" s="39"/>
      <c r="F31" s="39"/>
      <c r="G31" s="42"/>
      <c r="H31" s="39"/>
      <c r="I31" s="39"/>
      <c r="J31" s="44"/>
      <c r="K31" s="39"/>
      <c r="L31" s="39"/>
      <c r="M31" s="14"/>
      <c r="N31" s="37"/>
      <c r="O31" s="46"/>
      <c r="P31" s="49"/>
      <c r="Q31" s="46"/>
      <c r="R31" s="37"/>
      <c r="S31" s="14"/>
      <c r="T31" s="14"/>
      <c r="U31" s="14"/>
      <c r="V31" s="14"/>
      <c r="W31" s="14"/>
      <c r="X31" s="14"/>
      <c r="Y31" s="14"/>
      <c r="Z31" s="14"/>
    </row>
    <row r="32" spans="1:26" ht="15" customHeight="1" x14ac:dyDescent="0.35">
      <c r="A32" s="14"/>
      <c r="B32" s="39"/>
      <c r="C32" s="39"/>
      <c r="D32" s="44"/>
      <c r="E32" s="39"/>
      <c r="F32" s="39"/>
      <c r="G32" s="42"/>
      <c r="H32" s="39"/>
      <c r="I32" s="39"/>
      <c r="J32" s="44"/>
      <c r="K32" s="39"/>
      <c r="L32" s="39"/>
      <c r="M32" s="14"/>
      <c r="N32" s="37"/>
      <c r="O32" s="46"/>
      <c r="P32" s="49"/>
      <c r="Q32" s="46"/>
      <c r="R32" s="64"/>
      <c r="S32" s="14"/>
      <c r="T32" s="14"/>
      <c r="U32" s="14"/>
      <c r="V32" s="14"/>
      <c r="W32" s="14"/>
      <c r="X32" s="14"/>
      <c r="Y32" s="14"/>
      <c r="Z32" s="14"/>
    </row>
    <row r="33" spans="1:26" ht="15" customHeight="1" x14ac:dyDescent="0.35">
      <c r="A33" s="14"/>
      <c r="B33" s="39"/>
      <c r="C33" s="39"/>
      <c r="D33" s="44"/>
      <c r="E33" s="39"/>
      <c r="F33" s="39"/>
      <c r="G33" s="42"/>
      <c r="H33" s="39"/>
      <c r="I33" s="39"/>
      <c r="J33" s="44"/>
      <c r="K33" s="39"/>
      <c r="L33" s="39"/>
      <c r="M33" s="14"/>
      <c r="N33" s="37"/>
      <c r="O33" s="46"/>
      <c r="P33" s="49"/>
      <c r="Q33" s="46"/>
      <c r="R33" s="37"/>
      <c r="S33" s="14"/>
      <c r="T33" s="14"/>
      <c r="U33" s="14"/>
      <c r="V33" s="14"/>
      <c r="W33" s="14"/>
      <c r="X33" s="14"/>
      <c r="Y33" s="14"/>
      <c r="Z33" s="14"/>
    </row>
    <row r="34" spans="1:26" ht="15" customHeight="1" x14ac:dyDescent="0.35">
      <c r="A34" s="14"/>
      <c r="B34" s="39"/>
      <c r="C34" s="39"/>
      <c r="D34" s="44"/>
      <c r="E34" s="39"/>
      <c r="F34" s="39"/>
      <c r="G34" s="42"/>
      <c r="H34" s="39"/>
      <c r="I34" s="39"/>
      <c r="J34" s="44"/>
      <c r="K34" s="39"/>
      <c r="L34" s="39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x14ac:dyDescent="0.35">
      <c r="A35" s="14"/>
      <c r="B35" s="39"/>
      <c r="C35" s="39"/>
      <c r="D35" s="44"/>
      <c r="E35" s="39"/>
      <c r="F35" s="39"/>
      <c r="G35" s="42"/>
      <c r="H35" s="39"/>
      <c r="I35" s="39"/>
      <c r="J35" s="44"/>
      <c r="K35" s="39"/>
      <c r="L35" s="39"/>
      <c r="M35" s="14"/>
      <c r="N35" s="14"/>
      <c r="O35" s="38" t="s">
        <v>98</v>
      </c>
      <c r="P35" s="47">
        <f>SUMIF(F6:F35, "Crédito", D6:D35) + SUMIF(L6:L35, "Crédito", J6:J35) + SUMIF(R16:R33, "Crédito", P16:P33)</f>
        <v>555.93000000000006</v>
      </c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x14ac:dyDescent="0.3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x14ac:dyDescent="0.35">
      <c r="D37"/>
    </row>
    <row r="38" spans="1:26" x14ac:dyDescent="0.35">
      <c r="D38"/>
    </row>
    <row r="39" spans="1:26" x14ac:dyDescent="0.35">
      <c r="D39"/>
    </row>
    <row r="40" spans="1:26" x14ac:dyDescent="0.35">
      <c r="D40"/>
    </row>
    <row r="41" spans="1:26" x14ac:dyDescent="0.35">
      <c r="D41"/>
    </row>
    <row r="42" spans="1:26" x14ac:dyDescent="0.35">
      <c r="D42"/>
    </row>
    <row r="43" spans="1:26" x14ac:dyDescent="0.35">
      <c r="D43"/>
    </row>
    <row r="44" spans="1:26" x14ac:dyDescent="0.35">
      <c r="D44"/>
    </row>
  </sheetData>
  <mergeCells count="6">
    <mergeCell ref="N20:R20"/>
    <mergeCell ref="B2:L2"/>
    <mergeCell ref="B3:L3"/>
    <mergeCell ref="B4:F4"/>
    <mergeCell ref="H4:L4"/>
    <mergeCell ref="N14:R14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7C64B42-2516-425E-97EB-40A4F553C488}">
          <x14:formula1>
            <xm:f>'Planilha apoio'!#REF!</xm:f>
          </x14:formula1>
          <xm:sqref>G44:G1048576 M16</xm:sqref>
        </x14:dataValidation>
        <x14:dataValidation type="list" allowBlank="1" showInputMessage="1" showErrorMessage="1" xr:uid="{FC4637F5-A356-4452-BC2F-C78CA3474FB4}">
          <x14:formula1>
            <xm:f>'Planilha apoio'!$A$2:$A$13</xm:f>
          </x14:formula1>
          <xm:sqref>E44:F1048576</xm:sqref>
        </x14:dataValidation>
        <x14:dataValidation type="list" allowBlank="1" showInputMessage="1" showErrorMessage="1" xr:uid="{B68F3652-6D80-463D-B668-33814B5BFB02}">
          <x14:formula1>
            <xm:f>'Planilha apoio'!$B$2:$B$8</xm:f>
          </x14:formula1>
          <xm:sqref>R16:R19</xm:sqref>
        </x14:dataValidation>
        <x14:dataValidation type="list" allowBlank="1" showInputMessage="1" showErrorMessage="1" xr:uid="{A5740D23-904F-4037-8737-B0FDA67467DB}">
          <x14:formula1>
            <xm:f>'Planilha apoio'!$B$3:$B$8</xm:f>
          </x14:formula1>
          <xm:sqref>L6:L35 F6:F35</xm:sqref>
        </x14:dataValidation>
        <x14:dataValidation type="list" allowBlank="1" showInputMessage="1" showErrorMessage="1" xr:uid="{925A9F08-0691-4D8D-AC63-48826FD22226}">
          <x14:formula1>
            <xm:f>'Planilha apoio'!$A$2:$A$42</xm:f>
          </x14:formula1>
          <xm:sqref>Q16:Q19 R34:R35 E6:E35 K6:K35 Q34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7E566-8BF6-4D3C-B1D1-54660B8E7C01}">
  <dimension ref="A1:Z44"/>
  <sheetViews>
    <sheetView zoomScaleNormal="100" workbookViewId="0">
      <selection activeCell="O28" sqref="O28"/>
    </sheetView>
  </sheetViews>
  <sheetFormatPr defaultRowHeight="14.5" x14ac:dyDescent="0.35"/>
  <cols>
    <col min="1" max="1" width="1.36328125" customWidth="1"/>
    <col min="2" max="2" width="7.1796875" bestFit="1" customWidth="1"/>
    <col min="3" max="3" width="19.54296875" bestFit="1" customWidth="1"/>
    <col min="4" max="4" width="10.54296875" style="1" bestFit="1" customWidth="1"/>
    <col min="5" max="5" width="11.26953125" bestFit="1" customWidth="1"/>
    <col min="6" max="6" width="11.26953125" customWidth="1"/>
    <col min="7" max="7" width="2.54296875" customWidth="1"/>
    <col min="8" max="8" width="7.1796875" bestFit="1" customWidth="1"/>
    <col min="9" max="9" width="19.54296875" bestFit="1" customWidth="1"/>
    <col min="10" max="10" width="10.54296875" bestFit="1" customWidth="1"/>
    <col min="11" max="11" width="11.26953125" bestFit="1" customWidth="1"/>
    <col min="12" max="12" width="11.26953125" customWidth="1"/>
    <col min="13" max="13" width="2.7265625" customWidth="1"/>
    <col min="14" max="14" width="9.54296875" bestFit="1" customWidth="1"/>
    <col min="15" max="15" width="18.36328125" customWidth="1"/>
    <col min="16" max="16" width="11.6328125" customWidth="1"/>
    <col min="17" max="17" width="11.6328125" bestFit="1" customWidth="1"/>
    <col min="18" max="18" width="11.6328125" customWidth="1"/>
    <col min="19" max="19" width="12.1796875" bestFit="1" customWidth="1"/>
    <col min="21" max="21" width="3.7265625" customWidth="1"/>
  </cols>
  <sheetData>
    <row r="1" spans="1:26" ht="7" customHeight="1" thickBot="1" x14ac:dyDescent="0.4">
      <c r="A1" s="14"/>
      <c r="B1" s="14"/>
      <c r="C1" s="14"/>
      <c r="D1" s="15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x14ac:dyDescent="0.35">
      <c r="A2" s="14"/>
      <c r="B2" s="79">
        <v>46357</v>
      </c>
      <c r="C2" s="80"/>
      <c r="D2" s="80"/>
      <c r="E2" s="80"/>
      <c r="F2" s="80"/>
      <c r="G2" s="80"/>
      <c r="H2" s="80"/>
      <c r="I2" s="80"/>
      <c r="J2" s="80"/>
      <c r="K2" s="80"/>
      <c r="L2" s="81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5" thickBot="1" x14ac:dyDescent="0.4">
      <c r="A3" s="14"/>
      <c r="B3" s="82" t="s">
        <v>81</v>
      </c>
      <c r="C3" s="83"/>
      <c r="D3" s="83"/>
      <c r="E3" s="83"/>
      <c r="F3" s="83"/>
      <c r="G3" s="84"/>
      <c r="H3" s="83"/>
      <c r="I3" s="83"/>
      <c r="J3" s="83"/>
      <c r="K3" s="83"/>
      <c r="L3" s="85"/>
      <c r="M3" s="35"/>
      <c r="N3" s="41" t="s">
        <v>82</v>
      </c>
      <c r="O3" s="8" t="s">
        <v>83</v>
      </c>
      <c r="P3" s="8" t="s">
        <v>84</v>
      </c>
      <c r="Q3" s="8" t="s">
        <v>85</v>
      </c>
      <c r="R3" s="14"/>
      <c r="S3" s="14"/>
      <c r="T3" s="14"/>
      <c r="U3" s="14"/>
      <c r="V3" s="14"/>
      <c r="W3" s="14"/>
      <c r="X3" s="14"/>
      <c r="Y3" s="14"/>
      <c r="Z3" s="14"/>
    </row>
    <row r="4" spans="1:26" ht="15" thickBot="1" x14ac:dyDescent="0.4">
      <c r="A4" s="14"/>
      <c r="B4" s="86" t="s">
        <v>86</v>
      </c>
      <c r="C4" s="87"/>
      <c r="D4" s="87"/>
      <c r="E4" s="87"/>
      <c r="F4" s="88"/>
      <c r="G4" s="14"/>
      <c r="H4" s="89" t="s">
        <v>87</v>
      </c>
      <c r="I4" s="90"/>
      <c r="J4" s="90"/>
      <c r="K4" s="90"/>
      <c r="L4" s="91"/>
      <c r="M4" s="35"/>
      <c r="N4" s="41" t="s">
        <v>88</v>
      </c>
      <c r="O4" s="40">
        <v>3000</v>
      </c>
      <c r="Q4" s="6">
        <f>SUM(O4+P4)</f>
        <v>3000</v>
      </c>
      <c r="R4" s="14"/>
      <c r="S4" s="14"/>
      <c r="T4" s="14"/>
      <c r="U4" s="14"/>
      <c r="V4" s="14"/>
      <c r="W4" s="14"/>
      <c r="X4" s="14"/>
      <c r="Y4" s="14"/>
      <c r="Z4" s="14"/>
    </row>
    <row r="5" spans="1:26" ht="15" customHeight="1" x14ac:dyDescent="0.35">
      <c r="A5" s="35"/>
      <c r="B5" s="52" t="s">
        <v>4</v>
      </c>
      <c r="C5" s="52" t="s">
        <v>5</v>
      </c>
      <c r="D5" s="53" t="s">
        <v>6</v>
      </c>
      <c r="E5" s="52" t="s">
        <v>7</v>
      </c>
      <c r="F5" s="52" t="s">
        <v>106</v>
      </c>
      <c r="G5" s="14"/>
      <c r="H5" s="52" t="s">
        <v>4</v>
      </c>
      <c r="I5" s="52" t="s">
        <v>5</v>
      </c>
      <c r="J5" s="53" t="s">
        <v>6</v>
      </c>
      <c r="K5" s="52" t="s">
        <v>7</v>
      </c>
      <c r="L5" s="52" t="s">
        <v>106</v>
      </c>
      <c r="M5" s="14"/>
      <c r="N5" s="41" t="s">
        <v>89</v>
      </c>
      <c r="O5" s="40">
        <v>2000</v>
      </c>
      <c r="P5" s="6"/>
      <c r="Q5" s="6">
        <f>SUM(O5+P5)</f>
        <v>2000</v>
      </c>
      <c r="R5" s="14"/>
      <c r="S5" s="14"/>
      <c r="T5" s="14"/>
      <c r="U5" s="14"/>
      <c r="V5" s="14"/>
      <c r="W5" s="14"/>
      <c r="X5" s="14"/>
      <c r="Y5" s="14"/>
      <c r="Z5" s="14"/>
    </row>
    <row r="6" spans="1:26" ht="15" customHeight="1" x14ac:dyDescent="0.35">
      <c r="A6" s="35"/>
      <c r="B6" s="37"/>
      <c r="C6" s="39"/>
      <c r="D6" s="44"/>
      <c r="E6" s="39"/>
      <c r="F6" s="39"/>
      <c r="G6" s="42"/>
      <c r="H6" s="37"/>
      <c r="I6" s="39"/>
      <c r="J6" s="44"/>
      <c r="K6" s="39"/>
      <c r="L6" s="39"/>
      <c r="M6" s="35"/>
      <c r="N6" s="41" t="s">
        <v>101</v>
      </c>
      <c r="O6" s="40">
        <v>1012</v>
      </c>
      <c r="P6" s="41" t="s">
        <v>85</v>
      </c>
      <c r="Q6" s="6">
        <f>SUM(Q4:Q5)</f>
        <v>5000</v>
      </c>
      <c r="R6" s="14"/>
      <c r="S6" s="14"/>
      <c r="T6" s="14"/>
      <c r="U6" s="14"/>
      <c r="V6" s="14"/>
      <c r="W6" s="14"/>
      <c r="X6" s="14"/>
      <c r="Y6" s="14"/>
      <c r="Z6" s="14"/>
    </row>
    <row r="7" spans="1:26" ht="15" customHeight="1" x14ac:dyDescent="0.35">
      <c r="A7" s="35"/>
      <c r="B7" s="37"/>
      <c r="C7" s="39"/>
      <c r="D7" s="44"/>
      <c r="E7" s="39"/>
      <c r="F7" s="39"/>
      <c r="G7" s="42"/>
      <c r="H7" s="37"/>
      <c r="I7" s="39"/>
      <c r="J7" s="44"/>
      <c r="K7" s="39"/>
      <c r="L7" s="39"/>
      <c r="M7" s="35"/>
      <c r="N7" s="14"/>
      <c r="O7" s="14"/>
      <c r="P7" s="41" t="s">
        <v>90</v>
      </c>
      <c r="Q7" s="6">
        <f>SUM(Q6+O6)</f>
        <v>6012</v>
      </c>
      <c r="R7" s="14"/>
      <c r="S7" s="14"/>
      <c r="T7" s="14"/>
      <c r="U7" s="14"/>
      <c r="V7" s="14"/>
      <c r="W7" s="14"/>
      <c r="X7" s="14"/>
      <c r="Y7" s="14"/>
      <c r="Z7" s="14"/>
    </row>
    <row r="8" spans="1:26" ht="15" customHeight="1" x14ac:dyDescent="0.35">
      <c r="A8" s="35"/>
      <c r="B8" s="37"/>
      <c r="C8" s="39"/>
      <c r="D8" s="44"/>
      <c r="E8" s="39"/>
      <c r="F8" s="39"/>
      <c r="G8" s="42"/>
      <c r="H8" s="37"/>
      <c r="I8" s="39"/>
      <c r="J8" s="44"/>
      <c r="K8" s="39"/>
      <c r="L8" s="39"/>
      <c r="M8" s="35"/>
      <c r="N8" s="42"/>
      <c r="O8" s="15"/>
      <c r="P8" s="15"/>
      <c r="Q8" s="15"/>
      <c r="R8" s="15"/>
      <c r="S8" s="14"/>
      <c r="T8" s="14"/>
      <c r="U8" s="14"/>
      <c r="V8" s="14"/>
      <c r="W8" s="14"/>
      <c r="X8" s="14"/>
      <c r="Y8" s="14"/>
      <c r="Z8" s="14"/>
    </row>
    <row r="9" spans="1:26" ht="15" customHeight="1" thickBot="1" x14ac:dyDescent="0.4">
      <c r="A9" s="35"/>
      <c r="B9" s="39"/>
      <c r="C9" s="39"/>
      <c r="D9" s="44"/>
      <c r="E9" s="39"/>
      <c r="F9" s="39"/>
      <c r="G9" s="42"/>
      <c r="H9" s="39"/>
      <c r="I9" s="56"/>
      <c r="J9" s="44"/>
      <c r="K9" s="39"/>
      <c r="L9" s="39"/>
      <c r="M9" s="35"/>
      <c r="N9" s="43" t="s">
        <v>91</v>
      </c>
      <c r="O9" s="24">
        <v>1000</v>
      </c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15" customHeight="1" thickBot="1" x14ac:dyDescent="0.4">
      <c r="A10" s="35"/>
      <c r="B10" s="39"/>
      <c r="C10" s="39"/>
      <c r="D10" s="44"/>
      <c r="E10" s="39"/>
      <c r="F10" s="39"/>
      <c r="G10" s="42"/>
      <c r="H10" s="54"/>
      <c r="I10" s="58"/>
      <c r="J10" s="55"/>
      <c r="K10" s="39"/>
      <c r="L10" s="39"/>
      <c r="M10" s="35"/>
      <c r="N10" s="43" t="s">
        <v>92</v>
      </c>
      <c r="O10" s="6">
        <f>SUM(P16:P19) + SUM(P21:P33)</f>
        <v>2325.0100000000002</v>
      </c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15" customHeight="1" x14ac:dyDescent="0.35">
      <c r="A11" s="35"/>
      <c r="B11" s="39"/>
      <c r="C11" s="39"/>
      <c r="D11" s="44"/>
      <c r="E11" s="39"/>
      <c r="F11" s="39"/>
      <c r="G11" s="42"/>
      <c r="H11" s="39"/>
      <c r="I11" s="57"/>
      <c r="J11" s="44"/>
      <c r="K11" s="39"/>
      <c r="L11" s="39"/>
      <c r="M11" s="35"/>
      <c r="N11" s="43" t="s">
        <v>93</v>
      </c>
      <c r="O11" s="6" cm="1">
        <f t="array" ref="O11">SUM(D6:D35+J6:J35)</f>
        <v>0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15" customHeight="1" x14ac:dyDescent="0.35">
      <c r="A12" s="35"/>
      <c r="B12" s="39"/>
      <c r="C12" s="39"/>
      <c r="D12" s="44"/>
      <c r="E12" s="39"/>
      <c r="F12" s="39"/>
      <c r="G12" s="42"/>
      <c r="H12" s="39"/>
      <c r="I12" s="39"/>
      <c r="J12" s="44"/>
      <c r="K12" s="39"/>
      <c r="L12" s="39"/>
      <c r="M12" s="35"/>
      <c r="N12" s="43" t="s">
        <v>24</v>
      </c>
      <c r="O12" s="6">
        <f>SUM(O9:O11)</f>
        <v>3325.01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15" customHeight="1" thickBot="1" x14ac:dyDescent="0.4">
      <c r="A13" s="35"/>
      <c r="B13" s="39"/>
      <c r="C13" s="39"/>
      <c r="D13" s="44"/>
      <c r="E13" s="39"/>
      <c r="F13" s="39"/>
      <c r="G13" s="42"/>
      <c r="H13" s="39"/>
      <c r="I13" s="39"/>
      <c r="J13" s="44"/>
      <c r="K13" s="39"/>
      <c r="L13" s="39"/>
      <c r="M13" s="35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15" customHeight="1" thickBot="1" x14ac:dyDescent="0.4">
      <c r="A14" s="35"/>
      <c r="B14" s="37"/>
      <c r="C14" s="39"/>
      <c r="D14" s="44"/>
      <c r="E14" s="39"/>
      <c r="F14" s="39"/>
      <c r="G14" s="42"/>
      <c r="H14" s="37"/>
      <c r="I14" s="39"/>
      <c r="J14" s="44"/>
      <c r="K14" s="39"/>
      <c r="L14" s="39"/>
      <c r="M14" s="35"/>
      <c r="N14" s="76" t="s">
        <v>94</v>
      </c>
      <c r="O14" s="77"/>
      <c r="P14" s="77"/>
      <c r="Q14" s="77"/>
      <c r="R14" s="78"/>
      <c r="S14" s="14"/>
      <c r="T14" s="14"/>
      <c r="U14" s="14"/>
      <c r="V14" s="14"/>
      <c r="W14" s="14"/>
      <c r="X14" s="14"/>
      <c r="Y14" s="14"/>
      <c r="Z14" s="14"/>
    </row>
    <row r="15" spans="1:26" ht="15" customHeight="1" x14ac:dyDescent="0.35">
      <c r="A15" s="35"/>
      <c r="B15" s="37"/>
      <c r="C15" s="39"/>
      <c r="D15" s="44"/>
      <c r="E15" s="39"/>
      <c r="F15" s="39"/>
      <c r="G15" s="42"/>
      <c r="H15" s="37"/>
      <c r="I15" s="39"/>
      <c r="J15" s="44"/>
      <c r="K15" s="39"/>
      <c r="L15" s="39"/>
      <c r="M15" s="35"/>
      <c r="N15" s="59" t="s">
        <v>4</v>
      </c>
      <c r="O15" s="60" t="s">
        <v>5</v>
      </c>
      <c r="P15" s="61" t="s">
        <v>6</v>
      </c>
      <c r="Q15" s="59" t="s">
        <v>7</v>
      </c>
      <c r="R15" s="59" t="s">
        <v>106</v>
      </c>
      <c r="S15" s="14"/>
      <c r="T15" s="14"/>
      <c r="U15" s="14"/>
      <c r="V15" s="14"/>
      <c r="W15" s="14"/>
      <c r="X15" s="14"/>
      <c r="Y15" s="14"/>
      <c r="Z15" s="14"/>
    </row>
    <row r="16" spans="1:26" ht="15" customHeight="1" x14ac:dyDescent="0.35">
      <c r="A16" s="14"/>
      <c r="B16" s="39"/>
      <c r="C16" s="39"/>
      <c r="D16" s="44"/>
      <c r="E16" s="39"/>
      <c r="F16" s="39"/>
      <c r="G16" s="42"/>
      <c r="H16" s="39"/>
      <c r="I16" s="39"/>
      <c r="J16" s="44"/>
      <c r="K16" s="39"/>
      <c r="L16" s="39"/>
      <c r="M16" s="14"/>
      <c r="N16" s="65">
        <v>45996</v>
      </c>
      <c r="O16" s="45" t="s">
        <v>22</v>
      </c>
      <c r="P16" s="50">
        <v>850</v>
      </c>
      <c r="Q16" s="37" t="s">
        <v>22</v>
      </c>
      <c r="R16" s="37" t="s">
        <v>72</v>
      </c>
      <c r="S16" s="14"/>
      <c r="T16" s="14"/>
      <c r="U16" s="14"/>
      <c r="V16" s="14"/>
      <c r="W16" s="14"/>
      <c r="X16" s="14"/>
      <c r="Y16" s="14"/>
      <c r="Z16" s="14"/>
    </row>
    <row r="17" spans="1:26" ht="15" customHeight="1" x14ac:dyDescent="0.35">
      <c r="A17" s="14"/>
      <c r="B17" s="39"/>
      <c r="C17" s="39"/>
      <c r="D17" s="44"/>
      <c r="E17" s="39"/>
      <c r="F17" s="39"/>
      <c r="G17" s="42"/>
      <c r="H17" s="39"/>
      <c r="I17" s="39"/>
      <c r="J17" s="44"/>
      <c r="K17" s="39"/>
      <c r="L17" s="39"/>
      <c r="M17" s="35"/>
      <c r="N17" s="65">
        <v>45996</v>
      </c>
      <c r="O17" s="45" t="s">
        <v>25</v>
      </c>
      <c r="P17" s="50">
        <v>220</v>
      </c>
      <c r="Q17" s="37" t="s">
        <v>25</v>
      </c>
      <c r="R17" s="37" t="s">
        <v>72</v>
      </c>
      <c r="S17" s="14"/>
      <c r="T17" s="14"/>
      <c r="U17" s="14"/>
      <c r="V17" s="14"/>
      <c r="W17" s="14"/>
      <c r="X17" s="14"/>
      <c r="Y17" s="14"/>
      <c r="Z17" s="14"/>
    </row>
    <row r="18" spans="1:26" ht="15" customHeight="1" x14ac:dyDescent="0.35">
      <c r="A18" s="36"/>
      <c r="B18" s="39"/>
      <c r="C18" s="39"/>
      <c r="D18" s="44"/>
      <c r="E18" s="39"/>
      <c r="F18" s="39"/>
      <c r="G18" s="42"/>
      <c r="H18" s="39"/>
      <c r="I18" s="39"/>
      <c r="J18" s="44"/>
      <c r="K18" s="39"/>
      <c r="L18" s="39"/>
      <c r="M18" s="35"/>
      <c r="N18" s="65">
        <v>45996</v>
      </c>
      <c r="O18" s="46" t="s">
        <v>96</v>
      </c>
      <c r="P18" s="50">
        <f>SUM('jan-26'!P35)</f>
        <v>555.93000000000006</v>
      </c>
      <c r="Q18" s="48" t="s">
        <v>60</v>
      </c>
      <c r="R18" s="48" t="s">
        <v>72</v>
      </c>
      <c r="S18" s="14"/>
      <c r="T18" s="14"/>
      <c r="U18" s="14"/>
      <c r="V18" s="14"/>
      <c r="W18" s="14"/>
      <c r="X18" s="14"/>
      <c r="Y18" s="14"/>
      <c r="Z18" s="14"/>
    </row>
    <row r="19" spans="1:26" ht="15" customHeight="1" thickBot="1" x14ac:dyDescent="0.4">
      <c r="A19" s="36"/>
      <c r="B19" s="39"/>
      <c r="C19" s="39"/>
      <c r="D19" s="44"/>
      <c r="E19" s="39"/>
      <c r="F19" s="39"/>
      <c r="G19" s="42"/>
      <c r="H19" s="39"/>
      <c r="I19" s="39"/>
      <c r="J19" s="44"/>
      <c r="K19" s="39"/>
      <c r="L19" s="39"/>
      <c r="M19" s="14"/>
      <c r="N19" s="65">
        <v>45996</v>
      </c>
      <c r="O19" s="62" t="s">
        <v>100</v>
      </c>
      <c r="P19" s="63">
        <v>143.15</v>
      </c>
      <c r="Q19" s="64" t="s">
        <v>59</v>
      </c>
      <c r="R19" s="64" t="s">
        <v>108</v>
      </c>
      <c r="S19" s="14"/>
      <c r="T19" s="14"/>
      <c r="U19" s="14"/>
      <c r="V19" s="14"/>
      <c r="W19" s="14"/>
      <c r="X19" s="14"/>
      <c r="Y19" s="14"/>
      <c r="Z19" s="14"/>
    </row>
    <row r="20" spans="1:26" ht="15" customHeight="1" thickBot="1" x14ac:dyDescent="0.4">
      <c r="A20" s="14"/>
      <c r="B20" s="39"/>
      <c r="C20" s="39"/>
      <c r="D20" s="44"/>
      <c r="E20" s="39"/>
      <c r="F20" s="39"/>
      <c r="G20" s="42"/>
      <c r="H20" s="39"/>
      <c r="I20" s="39"/>
      <c r="J20" s="44"/>
      <c r="K20" s="39"/>
      <c r="L20" s="39"/>
      <c r="M20" s="14"/>
      <c r="N20" s="76" t="s">
        <v>105</v>
      </c>
      <c r="O20" s="77"/>
      <c r="P20" s="77"/>
      <c r="Q20" s="77"/>
      <c r="R20" s="78"/>
      <c r="S20" s="14"/>
      <c r="T20" s="14"/>
      <c r="U20" s="14"/>
      <c r="V20" s="14"/>
      <c r="W20" s="14"/>
      <c r="X20" s="14"/>
      <c r="Y20" s="14"/>
      <c r="Z20" s="14"/>
    </row>
    <row r="21" spans="1:26" ht="15" customHeight="1" x14ac:dyDescent="0.35">
      <c r="A21" s="14"/>
      <c r="B21" s="39"/>
      <c r="C21" s="39"/>
      <c r="D21" s="44"/>
      <c r="E21" s="39"/>
      <c r="F21" s="39"/>
      <c r="G21" s="42"/>
      <c r="H21" s="39"/>
      <c r="I21" s="39"/>
      <c r="J21" s="44"/>
      <c r="K21" s="39"/>
      <c r="L21" s="39"/>
      <c r="M21" s="14"/>
      <c r="N21" s="65">
        <v>45662</v>
      </c>
      <c r="O21" s="66" t="s">
        <v>18</v>
      </c>
      <c r="P21" s="67">
        <v>40.9</v>
      </c>
      <c r="Q21" s="65" t="s">
        <v>19</v>
      </c>
      <c r="R21" s="37" t="s">
        <v>51</v>
      </c>
      <c r="S21" s="14"/>
      <c r="T21" s="14"/>
      <c r="U21" s="14"/>
      <c r="V21" s="14"/>
      <c r="W21" s="14"/>
      <c r="X21" s="14"/>
      <c r="Y21" s="14"/>
      <c r="Z21" s="14"/>
    </row>
    <row r="22" spans="1:26" ht="15" customHeight="1" x14ac:dyDescent="0.35">
      <c r="A22" s="14"/>
      <c r="B22" s="39"/>
      <c r="C22" s="39"/>
      <c r="D22" s="44"/>
      <c r="E22" s="39"/>
      <c r="F22" s="39"/>
      <c r="G22" s="42"/>
      <c r="H22" s="39"/>
      <c r="I22" s="39"/>
      <c r="J22" s="44"/>
      <c r="K22" s="39"/>
      <c r="L22" s="39"/>
      <c r="M22" s="14"/>
      <c r="N22" s="65">
        <v>45662</v>
      </c>
      <c r="O22" s="46" t="s">
        <v>97</v>
      </c>
      <c r="P22" s="49">
        <v>66.900000000000006</v>
      </c>
      <c r="Q22" s="65" t="s">
        <v>19</v>
      </c>
      <c r="R22" s="37" t="s">
        <v>51</v>
      </c>
      <c r="S22" s="14"/>
      <c r="T22" s="14"/>
      <c r="U22" s="14"/>
      <c r="V22" s="14"/>
      <c r="W22" s="14"/>
      <c r="X22" s="14"/>
      <c r="Y22" s="14"/>
      <c r="Z22" s="14"/>
    </row>
    <row r="23" spans="1:26" ht="15" customHeight="1" x14ac:dyDescent="0.35">
      <c r="A23" s="14"/>
      <c r="B23" s="39"/>
      <c r="C23" s="39"/>
      <c r="D23" s="44"/>
      <c r="E23" s="39"/>
      <c r="F23" s="39"/>
      <c r="G23" s="42"/>
      <c r="H23" s="39"/>
      <c r="I23" s="39"/>
      <c r="J23" s="44"/>
      <c r="K23" s="39"/>
      <c r="L23" s="39"/>
      <c r="M23" s="14"/>
      <c r="N23" s="65">
        <v>45662</v>
      </c>
      <c r="O23" s="46" t="s">
        <v>102</v>
      </c>
      <c r="P23" s="49">
        <v>59.99</v>
      </c>
      <c r="Q23" s="46" t="s">
        <v>19</v>
      </c>
      <c r="R23" s="37" t="s">
        <v>51</v>
      </c>
      <c r="S23" s="14"/>
      <c r="T23" s="14"/>
      <c r="U23" s="14"/>
      <c r="V23" s="14"/>
      <c r="W23" s="14"/>
      <c r="X23" s="14"/>
      <c r="Y23" s="14"/>
      <c r="Z23" s="14"/>
    </row>
    <row r="24" spans="1:26" ht="15" customHeight="1" x14ac:dyDescent="0.35">
      <c r="A24" s="14"/>
      <c r="B24" s="39"/>
      <c r="C24" s="39"/>
      <c r="D24" s="44"/>
      <c r="E24" s="39"/>
      <c r="F24" s="39"/>
      <c r="G24" s="42"/>
      <c r="H24" s="39"/>
      <c r="I24" s="39"/>
      <c r="J24" s="44"/>
      <c r="K24" s="39"/>
      <c r="L24" s="39"/>
      <c r="M24" s="14"/>
      <c r="N24" s="65">
        <v>45662</v>
      </c>
      <c r="O24" s="45" t="s">
        <v>103</v>
      </c>
      <c r="P24" s="50">
        <v>119.9</v>
      </c>
      <c r="Q24" s="37" t="s">
        <v>11</v>
      </c>
      <c r="R24" s="37" t="s">
        <v>51</v>
      </c>
      <c r="S24" s="14"/>
      <c r="T24" s="14"/>
      <c r="U24" s="14"/>
      <c r="V24" s="14"/>
      <c r="W24" s="14"/>
      <c r="X24" s="14"/>
      <c r="Y24" s="14"/>
      <c r="Z24" s="14"/>
    </row>
    <row r="25" spans="1:26" ht="15" customHeight="1" x14ac:dyDescent="0.35">
      <c r="A25" s="14"/>
      <c r="B25" s="39"/>
      <c r="C25" s="39"/>
      <c r="D25" s="44"/>
      <c r="E25" s="39"/>
      <c r="F25" s="39"/>
      <c r="G25" s="42"/>
      <c r="H25" s="39"/>
      <c r="I25" s="39"/>
      <c r="J25" s="44"/>
      <c r="K25" s="39"/>
      <c r="L25" s="39"/>
      <c r="M25" s="14"/>
      <c r="N25" s="65">
        <v>45662</v>
      </c>
      <c r="O25" s="45" t="s">
        <v>95</v>
      </c>
      <c r="P25" s="50">
        <v>50.08</v>
      </c>
      <c r="Q25" s="37" t="s">
        <v>11</v>
      </c>
      <c r="R25" s="37" t="s">
        <v>51</v>
      </c>
      <c r="S25" s="14"/>
      <c r="T25" s="14"/>
      <c r="U25" s="14"/>
      <c r="V25" s="14"/>
      <c r="W25" s="14"/>
      <c r="X25" s="14"/>
      <c r="Y25" s="14"/>
      <c r="Z25" s="14"/>
    </row>
    <row r="26" spans="1:26" ht="15" customHeight="1" x14ac:dyDescent="0.35">
      <c r="A26" s="14"/>
      <c r="B26" s="39"/>
      <c r="C26" s="39"/>
      <c r="D26" s="44"/>
      <c r="E26" s="39"/>
      <c r="F26" s="39"/>
      <c r="G26" s="42"/>
      <c r="H26" s="39"/>
      <c r="I26" s="39"/>
      <c r="J26" s="44"/>
      <c r="K26" s="39"/>
      <c r="L26" s="39"/>
      <c r="M26" s="14"/>
      <c r="N26" s="65">
        <v>45662</v>
      </c>
      <c r="O26" s="46" t="s">
        <v>104</v>
      </c>
      <c r="P26" s="49">
        <v>38.36</v>
      </c>
      <c r="Q26" s="37" t="s">
        <v>11</v>
      </c>
      <c r="R26" s="37" t="s">
        <v>51</v>
      </c>
      <c r="S26" s="14"/>
      <c r="T26" s="14"/>
      <c r="U26" s="14"/>
      <c r="V26" s="14"/>
      <c r="W26" s="14"/>
      <c r="X26" s="14"/>
      <c r="Y26" s="14"/>
      <c r="Z26" s="14"/>
    </row>
    <row r="27" spans="1:26" ht="15" customHeight="1" x14ac:dyDescent="0.35">
      <c r="A27" s="14"/>
      <c r="B27" s="39"/>
      <c r="C27" s="39"/>
      <c r="D27" s="44"/>
      <c r="E27" s="39"/>
      <c r="F27" s="39"/>
      <c r="G27" s="42"/>
      <c r="H27" s="39"/>
      <c r="I27" s="39"/>
      <c r="J27" s="44"/>
      <c r="K27" s="39"/>
      <c r="L27" s="39"/>
      <c r="M27" s="14"/>
      <c r="N27" s="65">
        <v>45662</v>
      </c>
      <c r="O27" s="46" t="s">
        <v>120</v>
      </c>
      <c r="P27" s="50">
        <v>89.9</v>
      </c>
      <c r="Q27" s="37" t="s">
        <v>75</v>
      </c>
      <c r="R27" s="37" t="s">
        <v>51</v>
      </c>
      <c r="S27" s="14"/>
      <c r="T27" s="14"/>
      <c r="U27" s="14"/>
      <c r="V27" s="14"/>
      <c r="W27" s="14"/>
      <c r="X27" s="14"/>
      <c r="Y27" s="14"/>
      <c r="Z27" s="14"/>
    </row>
    <row r="28" spans="1:26" ht="15" customHeight="1" x14ac:dyDescent="0.35">
      <c r="A28" s="14"/>
      <c r="B28" s="39"/>
      <c r="C28" s="39"/>
      <c r="D28" s="44"/>
      <c r="E28" s="39"/>
      <c r="F28" s="39"/>
      <c r="G28" s="42"/>
      <c r="H28" s="39"/>
      <c r="I28" s="39"/>
      <c r="J28" s="44"/>
      <c r="K28" s="39"/>
      <c r="L28" s="39"/>
      <c r="M28" s="14"/>
      <c r="N28" s="65">
        <v>45662</v>
      </c>
      <c r="O28" s="46" t="s">
        <v>99</v>
      </c>
      <c r="P28" s="50">
        <v>89.9</v>
      </c>
      <c r="Q28" s="37" t="s">
        <v>75</v>
      </c>
      <c r="R28" s="37" t="s">
        <v>51</v>
      </c>
      <c r="S28" s="14"/>
      <c r="T28" s="14"/>
      <c r="U28" s="14"/>
      <c r="V28" s="14"/>
      <c r="W28" s="14"/>
      <c r="X28" s="14"/>
      <c r="Y28" s="14"/>
      <c r="Z28" s="14"/>
    </row>
    <row r="29" spans="1:26" ht="15" customHeight="1" x14ac:dyDescent="0.35">
      <c r="A29" s="14"/>
      <c r="B29" s="39"/>
      <c r="C29" s="39"/>
      <c r="D29" s="44"/>
      <c r="E29" s="39"/>
      <c r="F29" s="39"/>
      <c r="G29" s="42"/>
      <c r="H29" s="39"/>
      <c r="I29" s="39"/>
      <c r="J29" s="44"/>
      <c r="K29" s="39"/>
      <c r="L29" s="39"/>
      <c r="M29" s="14"/>
      <c r="N29" s="65"/>
      <c r="O29" s="46"/>
      <c r="P29" s="49"/>
      <c r="Q29" s="46"/>
      <c r="R29" s="37"/>
      <c r="S29" s="14"/>
      <c r="T29" s="14"/>
      <c r="U29" s="14"/>
      <c r="V29" s="14"/>
      <c r="W29" s="14"/>
      <c r="X29" s="14"/>
      <c r="Y29" s="14"/>
      <c r="Z29" s="14"/>
    </row>
    <row r="30" spans="1:26" ht="15" customHeight="1" x14ac:dyDescent="0.35">
      <c r="A30" s="14"/>
      <c r="B30" s="39"/>
      <c r="C30" s="39"/>
      <c r="D30" s="44"/>
      <c r="E30" s="39"/>
      <c r="F30" s="39"/>
      <c r="G30" s="42"/>
      <c r="H30" s="39"/>
      <c r="I30" s="39"/>
      <c r="J30" s="44"/>
      <c r="K30" s="39"/>
      <c r="L30" s="39"/>
      <c r="M30" s="14"/>
      <c r="N30" s="65"/>
      <c r="O30" s="46"/>
      <c r="P30" s="49"/>
      <c r="Q30" s="46"/>
      <c r="R30" s="37"/>
      <c r="S30" s="14"/>
      <c r="T30" s="14"/>
      <c r="U30" s="14"/>
      <c r="V30" s="14"/>
      <c r="W30" s="14"/>
      <c r="X30" s="14"/>
      <c r="Y30" s="14"/>
      <c r="Z30" s="14"/>
    </row>
    <row r="31" spans="1:26" ht="15" customHeight="1" x14ac:dyDescent="0.35">
      <c r="A31" s="14"/>
      <c r="B31" s="39"/>
      <c r="C31" s="39"/>
      <c r="D31" s="44"/>
      <c r="E31" s="39"/>
      <c r="F31" s="39"/>
      <c r="G31" s="42"/>
      <c r="H31" s="39"/>
      <c r="I31" s="39"/>
      <c r="J31" s="44"/>
      <c r="K31" s="39"/>
      <c r="L31" s="39"/>
      <c r="M31" s="14"/>
      <c r="N31" s="37"/>
      <c r="O31" s="46"/>
      <c r="P31" s="49"/>
      <c r="Q31" s="46"/>
      <c r="R31" s="37"/>
      <c r="S31" s="14"/>
      <c r="T31" s="14"/>
      <c r="U31" s="14"/>
      <c r="V31" s="14"/>
      <c r="W31" s="14"/>
      <c r="X31" s="14"/>
      <c r="Y31" s="14"/>
      <c r="Z31" s="14"/>
    </row>
    <row r="32" spans="1:26" ht="15" customHeight="1" x14ac:dyDescent="0.35">
      <c r="A32" s="14"/>
      <c r="B32" s="39"/>
      <c r="C32" s="39"/>
      <c r="D32" s="44"/>
      <c r="E32" s="39"/>
      <c r="F32" s="39"/>
      <c r="G32" s="42"/>
      <c r="H32" s="39"/>
      <c r="I32" s="39"/>
      <c r="J32" s="44"/>
      <c r="K32" s="39"/>
      <c r="L32" s="39"/>
      <c r="M32" s="14"/>
      <c r="N32" s="37"/>
      <c r="O32" s="46"/>
      <c r="P32" s="49"/>
      <c r="Q32" s="46"/>
      <c r="R32" s="64"/>
      <c r="S32" s="14"/>
      <c r="T32" s="14"/>
      <c r="U32" s="14"/>
      <c r="V32" s="14"/>
      <c r="W32" s="14"/>
      <c r="X32" s="14"/>
      <c r="Y32" s="14"/>
      <c r="Z32" s="14"/>
    </row>
    <row r="33" spans="1:26" ht="15" customHeight="1" x14ac:dyDescent="0.35">
      <c r="A33" s="14"/>
      <c r="B33" s="39"/>
      <c r="C33" s="39"/>
      <c r="D33" s="44"/>
      <c r="E33" s="39"/>
      <c r="F33" s="39"/>
      <c r="G33" s="42"/>
      <c r="H33" s="39"/>
      <c r="I33" s="39"/>
      <c r="J33" s="44"/>
      <c r="K33" s="39"/>
      <c r="L33" s="39"/>
      <c r="M33" s="14"/>
      <c r="N33" s="37"/>
      <c r="O33" s="46"/>
      <c r="P33" s="49"/>
      <c r="Q33" s="46"/>
      <c r="R33" s="37"/>
      <c r="S33" s="14"/>
      <c r="T33" s="14"/>
      <c r="U33" s="14"/>
      <c r="V33" s="14"/>
      <c r="W33" s="14"/>
      <c r="X33" s="14"/>
      <c r="Y33" s="14"/>
      <c r="Z33" s="14"/>
    </row>
    <row r="34" spans="1:26" ht="15" customHeight="1" x14ac:dyDescent="0.35">
      <c r="A34" s="14"/>
      <c r="B34" s="39"/>
      <c r="C34" s="39"/>
      <c r="D34" s="44"/>
      <c r="E34" s="39"/>
      <c r="F34" s="39"/>
      <c r="G34" s="42"/>
      <c r="H34" s="39"/>
      <c r="I34" s="39"/>
      <c r="J34" s="44"/>
      <c r="K34" s="39"/>
      <c r="L34" s="39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x14ac:dyDescent="0.35">
      <c r="A35" s="14"/>
      <c r="B35" s="39"/>
      <c r="C35" s="39"/>
      <c r="D35" s="44"/>
      <c r="E35" s="39"/>
      <c r="F35" s="39"/>
      <c r="G35" s="42"/>
      <c r="H35" s="39"/>
      <c r="I35" s="39"/>
      <c r="J35" s="44"/>
      <c r="K35" s="39"/>
      <c r="L35" s="39"/>
      <c r="M35" s="14"/>
      <c r="N35" s="14"/>
      <c r="O35" s="38" t="s">
        <v>98</v>
      </c>
      <c r="P35" s="47">
        <f>SUMIF(F6:F35, "Crédito", D6:D35) + SUMIF(L6:L35, "Crédito", J6:J35) + SUMIF(R16:R33, "Crédito", P16:P33)</f>
        <v>555.93000000000006</v>
      </c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x14ac:dyDescent="0.3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x14ac:dyDescent="0.35">
      <c r="D37"/>
    </row>
    <row r="38" spans="1:26" x14ac:dyDescent="0.35">
      <c r="D38"/>
    </row>
    <row r="39" spans="1:26" x14ac:dyDescent="0.35">
      <c r="D39"/>
    </row>
    <row r="40" spans="1:26" x14ac:dyDescent="0.35">
      <c r="D40"/>
    </row>
    <row r="41" spans="1:26" x14ac:dyDescent="0.35">
      <c r="D41"/>
    </row>
    <row r="42" spans="1:26" x14ac:dyDescent="0.35">
      <c r="D42"/>
    </row>
    <row r="43" spans="1:26" x14ac:dyDescent="0.35">
      <c r="D43"/>
    </row>
    <row r="44" spans="1:26" x14ac:dyDescent="0.35">
      <c r="D44"/>
    </row>
  </sheetData>
  <mergeCells count="6">
    <mergeCell ref="N20:R20"/>
    <mergeCell ref="B2:L2"/>
    <mergeCell ref="B3:L3"/>
    <mergeCell ref="B4:F4"/>
    <mergeCell ref="H4:L4"/>
    <mergeCell ref="N14:R14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 xr:uid="{15740785-BA15-4938-8D0C-3761675866B0}">
          <x14:formula1>
            <xm:f>'Planilha apoio'!#REF!</xm:f>
          </x14:formula1>
          <xm:sqref>G44:G1048576 M16</xm:sqref>
        </x14:dataValidation>
        <x14:dataValidation type="list" allowBlank="1" showInputMessage="1" showErrorMessage="1" xr:uid="{D990B1A4-81FC-466E-A91F-8E97E52F79A5}">
          <x14:formula1>
            <xm:f>'Planilha apoio'!$A$2:$A$13</xm:f>
          </x14:formula1>
          <xm:sqref>E44:F1048576</xm:sqref>
        </x14:dataValidation>
        <x14:dataValidation type="list" allowBlank="1" showInputMessage="1" showErrorMessage="1" xr:uid="{A8149F41-FE11-4050-8D21-1000E2990269}">
          <x14:formula1>
            <xm:f>'Planilha apoio'!$B$2:$B$8</xm:f>
          </x14:formula1>
          <xm:sqref>R16:R19</xm:sqref>
        </x14:dataValidation>
        <x14:dataValidation type="list" allowBlank="1" showInputMessage="1" showErrorMessage="1" xr:uid="{2B0FA1C0-A0D5-4DA6-A483-FA28F390169F}">
          <x14:formula1>
            <xm:f>'Planilha apoio'!$B$3:$B$8</xm:f>
          </x14:formula1>
          <xm:sqref>L6:L35 F6:F35</xm:sqref>
        </x14:dataValidation>
        <x14:dataValidation type="list" allowBlank="1" showInputMessage="1" showErrorMessage="1" xr:uid="{30DFF346-53E3-4298-A4EC-CCFF9F1974CF}">
          <x14:formula1>
            <xm:f>'Planilha apoio'!$A$2:$A$42</xm:f>
          </x14:formula1>
          <xm:sqref>Q16:Q19 R34:R35 E6:E35 K6:K35 Q34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14</vt:i4>
      </vt:variant>
    </vt:vector>
  </HeadingPairs>
  <TitlesOfParts>
    <vt:vector size="14" baseType="lpstr">
      <vt:lpstr>Base</vt:lpstr>
      <vt:lpstr>Planilha apoio</vt:lpstr>
      <vt:lpstr>jan-26</vt:lpstr>
      <vt:lpstr>fev-26</vt:lpstr>
      <vt:lpstr>mar-26</vt:lpstr>
      <vt:lpstr>abr-26</vt:lpstr>
      <vt:lpstr>mai-26</vt:lpstr>
      <vt:lpstr>jun-26</vt:lpstr>
      <vt:lpstr>jul-26</vt:lpstr>
      <vt:lpstr>ago-26</vt:lpstr>
      <vt:lpstr>set-26</vt:lpstr>
      <vt:lpstr>out-26</vt:lpstr>
      <vt:lpstr>nov-26</vt:lpstr>
      <vt:lpstr>dez-26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Suporte</dc:creator>
  <cp:keywords/>
  <dc:description/>
  <cp:lastModifiedBy>Camila Bernardino</cp:lastModifiedBy>
  <cp:revision/>
  <dcterms:created xsi:type="dcterms:W3CDTF">2023-08-03T21:09:35Z</dcterms:created>
  <dcterms:modified xsi:type="dcterms:W3CDTF">2025-11-05T22:46:29Z</dcterms:modified>
  <cp:category/>
  <cp:contentStatus/>
</cp:coreProperties>
</file>